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obert.mesquita\Desktop\evidencias\"/>
    </mc:Choice>
  </mc:AlternateContent>
  <xr:revisionPtr revIDLastSave="0" documentId="13_ncr:1_{8008599E-2A45-4447-9C23-754952FEE72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trodução" sheetId="5" r:id="rId1"/>
    <sheet name="Caderno de Testes SIRIC" sheetId="2" r:id="rId2"/>
    <sheet name="Evidências" sheetId="6" r:id="rId3"/>
    <sheet name="Glossário" sheetId="4" r:id="rId4"/>
  </sheets>
  <definedNames>
    <definedName name="_xlnm._FilterDatabase" localSheetId="1" hidden="1">'Caderno de Testes SIRIC'!$B$11:$R$58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L5" i="2"/>
  <c r="I6" i="2"/>
  <c r="L6" i="2"/>
  <c r="I7" i="2"/>
  <c r="L7" i="2"/>
  <c r="B59" i="2" l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I3" i="2" s="1"/>
</calcChain>
</file>

<file path=xl/sharedStrings.xml><?xml version="1.0" encoding="utf-8"?>
<sst xmlns="http://schemas.openxmlformats.org/spreadsheetml/2006/main" count="212" uniqueCount="108">
  <si>
    <t>Template V1.0</t>
  </si>
  <si>
    <t>Introdução</t>
  </si>
  <si>
    <r>
      <rPr>
        <b/>
        <sz val="10"/>
        <color theme="3"/>
        <rFont val="Calibri"/>
        <family val="2"/>
        <scheme val="minor"/>
      </rPr>
      <t>1. Objetivo</t>
    </r>
    <r>
      <rPr>
        <sz val="10"/>
        <color theme="3"/>
        <rFont val="Calibri"/>
        <family val="2"/>
        <scheme val="minor"/>
      </rPr>
      <t xml:space="preserve">
Este “Roteiro de Testes” é o documento que deve ser utilizado para realização dos testes e validação das funcionalidades construídas para o Marco 1 do projeto SIAAF, visando o ateste do ambiente pela CAIXA.
</t>
    </r>
    <r>
      <rPr>
        <sz val="8"/>
        <color theme="3"/>
        <rFont val="Calibri"/>
        <family val="2"/>
        <scheme val="minor"/>
      </rPr>
      <t xml:space="preserve">
</t>
    </r>
    <r>
      <rPr>
        <b/>
        <sz val="10"/>
        <color theme="3"/>
        <rFont val="Calibri"/>
        <family val="2"/>
        <scheme val="minor"/>
      </rPr>
      <t>2. Escopo dos Testes</t>
    </r>
    <r>
      <rPr>
        <sz val="10"/>
        <color theme="3"/>
        <rFont val="Calibri"/>
        <family val="2"/>
        <scheme val="minor"/>
      </rPr>
      <t xml:space="preserve">
Serão considerados para este roteiro os Testes funcionais e não-funcionais das entregas previstas para o Marco 1. As evidências dos testes deverão ser inseridas no documento Anexo I a este Roteiro.
</t>
    </r>
    <r>
      <rPr>
        <sz val="8"/>
        <color theme="3"/>
        <rFont val="Calibri"/>
        <family val="2"/>
        <scheme val="minor"/>
      </rPr>
      <t xml:space="preserve">
</t>
    </r>
    <r>
      <rPr>
        <b/>
        <sz val="10"/>
        <color theme="3"/>
        <rFont val="Calibri"/>
        <family val="2"/>
        <scheme val="minor"/>
      </rPr>
      <t>3. Não escopo dos Testes</t>
    </r>
    <r>
      <rPr>
        <sz val="10"/>
        <color theme="3"/>
        <rFont val="Calibri"/>
        <family val="2"/>
        <scheme val="minor"/>
      </rPr>
      <t xml:space="preserve">
Não é uma obrigatoriedade para realização dos testes o uso de dados reais, podendo o Consórcio utilizar dados fictícios para fins de validação do funcionamento correto das funcionalidades.
</t>
    </r>
    <r>
      <rPr>
        <sz val="8"/>
        <color theme="3"/>
        <rFont val="Calibri"/>
        <family val="2"/>
        <scheme val="minor"/>
      </rPr>
      <t xml:space="preserve">
</t>
    </r>
    <r>
      <rPr>
        <b/>
        <sz val="10"/>
        <color theme="3"/>
        <rFont val="Calibri"/>
        <family val="2"/>
        <scheme val="minor"/>
      </rPr>
      <t>4. Critério de Aceitação</t>
    </r>
    <r>
      <rPr>
        <sz val="10"/>
        <color theme="3"/>
        <rFont val="Calibri"/>
        <family val="2"/>
        <scheme val="minor"/>
      </rPr>
      <t xml:space="preserve">
Considera-se como ACEITO a realização de todos os Cenários de Testes, com obtenção apenas dos Resultados "Aprovado" ou "Erro não Crítico".
</t>
    </r>
    <r>
      <rPr>
        <sz val="8"/>
        <color theme="3"/>
        <rFont val="Calibri"/>
        <family val="2"/>
        <scheme val="minor"/>
      </rPr>
      <t xml:space="preserve">
</t>
    </r>
    <r>
      <rPr>
        <b/>
        <sz val="10"/>
        <color theme="3"/>
        <rFont val="Calibri"/>
        <family val="2"/>
        <scheme val="minor"/>
      </rPr>
      <t>5. Pré-Requisito Geral</t>
    </r>
    <r>
      <rPr>
        <sz val="10"/>
        <color theme="3"/>
        <rFont val="Calibri"/>
        <family val="2"/>
        <scheme val="minor"/>
      </rPr>
      <t xml:space="preserve">
O responsável pela realização dos testes deverá ter permissão de acesso em todos os ambientes que serão objetos dos testes, bem como o acesso em todas as interfaces da plataforma SAS.</t>
    </r>
  </si>
  <si>
    <t>RTC:</t>
  </si>
  <si>
    <t>Qtd. Cenários de Testes:</t>
  </si>
  <si>
    <t>Classificação</t>
  </si>
  <si>
    <t>Resultado dos Testes</t>
  </si>
  <si>
    <t>Responsável pela Execução dos Testes:</t>
  </si>
  <si>
    <t>DES</t>
  </si>
  <si>
    <t>TQS</t>
  </si>
  <si>
    <t>Erro Crítico (Impeditivo)</t>
  </si>
  <si>
    <t>Data da Execução dos Testes:</t>
  </si>
  <si>
    <t>Qtd. Testes Executados:</t>
  </si>
  <si>
    <t>Qtd. Re-Testes Executados:</t>
  </si>
  <si>
    <t>Erro não Crítico</t>
  </si>
  <si>
    <t>Área do Responsável:</t>
  </si>
  <si>
    <t>Qtd. Testes Validados:</t>
  </si>
  <si>
    <t>Qtd. Re-Testes Validados:</t>
  </si>
  <si>
    <t>Aprovado</t>
  </si>
  <si>
    <t>Ambiente:</t>
  </si>
  <si>
    <t>Qtd. Testes com Erros Impeditivos:</t>
  </si>
  <si>
    <t>Qtd. Re-Testes com Erros Impeditivos:</t>
  </si>
  <si>
    <t>ID</t>
  </si>
  <si>
    <t>Solução</t>
  </si>
  <si>
    <t>Processo</t>
  </si>
  <si>
    <t>Módulo</t>
  </si>
  <si>
    <t>Função</t>
  </si>
  <si>
    <t>Cenário de Teste</t>
  </si>
  <si>
    <t>Passos para Execução</t>
  </si>
  <si>
    <t>Resultado Esperado</t>
  </si>
  <si>
    <t>Observações</t>
  </si>
  <si>
    <t>SAS V9 (SDI)</t>
  </si>
  <si>
    <t>Batch</t>
  </si>
  <si>
    <t>SDI</t>
  </si>
  <si>
    <t>Control-M / Execução de Scripts</t>
  </si>
  <si>
    <t>Executar o job no Control-M com sucesso.</t>
  </si>
  <si>
    <t>SIICO / Carga</t>
  </si>
  <si>
    <t>Realizar a carga dos dados do arquivo SIAAF_ETL_Insert_SIICO_Info_Unid_Banc_Full_D001 no BD Data Enrichment</t>
  </si>
  <si>
    <t>1. Realizar o INSERT, UPDATE ou DELETE de dados do SIOCR na Tabela AAF.AAFTIO08_ABRANGENCIA_GGRFA do SIOCR do BD Data Enrichment</t>
  </si>
  <si>
    <t>Arquivo SIICO carregado com sucesso no BD Data Enrichment</t>
  </si>
  <si>
    <t>Realizar a carga dos dados do arquivo SIAAF_ETL_Insert_SIICO_Info_Unid_Banc_Full_T001 no BD Data Enrichment</t>
  </si>
  <si>
    <t>1. Realizar o INSERT, UPDATE ou DELETE de dados do SIICO na Tabela AAF.AAFTIO07_CALENDARIO_FERIADO do BD Data Enrichment</t>
  </si>
  <si>
    <t>Realizar a carga dos dados do arquivo SIAAF_ETL_Insert_SIICO_Info_Unid_Banc_Full_T002 no BD Data Enrichment</t>
  </si>
  <si>
    <t>1. Realizar o INSERT, UPDATE ou DELETE de dados do SIICO na Tabela AAF.AAFTIO10_PRODUTO BD Data Enrichment</t>
  </si>
  <si>
    <t>Realizar a carga dos dados do arquivo SIAAF_ETL_Insert_SIICO_Info_Unid_Banc_Full_T003 no BD Data Enrichment</t>
  </si>
  <si>
    <t>1. Realizar o INSERT, UPDATE ou DELETE de dados do SIICO na Tabela AAF.AAFTIO03_BANCO_AGENCIA do BD Data Enrichment</t>
  </si>
  <si>
    <t>Realizar a carga dos dados do arquivo SIAAF_ETL_Insert_SIICO_Info_Unid_Banc_Full_T004 no BD Data Enrichment</t>
  </si>
  <si>
    <t>1. Realizar o INSERT, UPDATE ou DELETE de dados do SIICO na Tabela AAF.AAFTIO09_EMPREGADO do BD Data Enrichment</t>
  </si>
  <si>
    <t>Realizar a carga dos dados do arquivo SIAAF_ETL_Insert_SIICO_Info_Unid_Banc_Full_T005 no BD Data Enrichment</t>
  </si>
  <si>
    <t>1. Realizar o INSERT, UPDATE ou DELETE de dados do SIICO na Tabela AAF.AAFTIO04_CORRESPONDENTE_BNCRO do BD Data Enrichment</t>
  </si>
  <si>
    <t>Realizar a carga dos dados do arquivo SIAAF_ETL_Insert_SIICO_Info_Unid_Banc_Full_T006 no BD Data Enrichment</t>
  </si>
  <si>
    <t>1. Realizar o INSERT, UPDATE ou DELETE de dados do SIICO na Tabela AAFTIO05_LOTERICO BD Data Enrichment</t>
  </si>
  <si>
    <t>Realizar a carga dos dados do arquivo SIAAF_ETL_Insert_SIICO_Info_Unid_Banc_Full_T007 no BD Data Enrichment</t>
  </si>
  <si>
    <t>1. Realizar o INSERT, UPDATE ou DELETE de dados do SIICO na Tabela AAF.AAFTIO06_UNIDADE do BD Data Enrichment</t>
  </si>
  <si>
    <t>SIICO / Tabela Enriquecimento / Carga</t>
  </si>
  <si>
    <t>Realizar a carga dos dados do arquivo SIAAF_ETL_Insert_SIICO_Enrqo_Unidade no BD Data Enrichment</t>
  </si>
  <si>
    <t>1. Realizar o INSERT, UPDATE ou DELETE de dados do SIICO na Tabela AAF.AAFTIE04_ENRQO_UNIDADE do BD Data Enrichment</t>
  </si>
  <si>
    <t>Tabela de Enriquecimento atualizada com sucesso</t>
  </si>
  <si>
    <t>Realizar a carga dos dados do arquivo SIAAF_ETL_Insert_SIICO_Enrqo_Loterico no BD Data Enrichment</t>
  </si>
  <si>
    <t>1. Realizar o INSERT, UPDATE ou DELETE de dados do SIICO na Tabela AAF.AAFTIE06_ENRQO_LOTERICO do BD Data Enrichment</t>
  </si>
  <si>
    <t>Realizar a carga dos dados do arquivo SIAAF_ETL_Insert_SIICO_Enrqo_Corresp_Bancario no BD Data Enrichment</t>
  </si>
  <si>
    <t>1. Realizar o INSERT, UPDATE ou DELETE de dados do SIICO na Tabela AAF.AAFTIE01_ENRQO_CB do BD Data Enrichment</t>
  </si>
  <si>
    <t>Tabela de Controle de carga / Carga</t>
  </si>
  <si>
    <t>Realizar a carga na tabela de controle de carga.</t>
  </si>
  <si>
    <t>1. Configurar o job para INSERT de dados na Tabela do Controle de carga</t>
  </si>
  <si>
    <t>Tabela de Controle de Carga atualizada com sucesso</t>
  </si>
  <si>
    <t>SIICO / STAGE</t>
  </si>
  <si>
    <t>Mover arquivos da stage de entrada para stage processados após execução de sucesso do JOB SIAAF_ETL_ZIP_Arquivos_Stage.</t>
  </si>
  <si>
    <t>1. Stage entrada vazia.
2. Stage processados com arquivos do dia.</t>
  </si>
  <si>
    <t>Realizar a carga dos dados dos arquivos SIICO na Tabela de Enriquecimento</t>
  </si>
  <si>
    <t>1. Realizar o INSERT, UPDATE ou DELETE de dados do SIICO na Tabela de Enriquecimento do BD Data Enrichment</t>
  </si>
  <si>
    <t>Descrição</t>
  </si>
  <si>
    <t>Erro, segundo o cenário de teste respectivo, que impede o funcionamento de alguma funcionalidade prevista no escopo da Etapa 1.</t>
  </si>
  <si>
    <t>Erro, segundo o cenário de testes respectivo, que não impede o funcionamento de determinada funcionalidade prevista no escopo da Etapa 1 ou da correção objetivada, podendo ser tratado em etapa posterior no projeto, em produção assistida ou em regime de produção ON-GOING.</t>
  </si>
  <si>
    <t>Representa o resultado do teste eficaz do cenário de teste respectivo.</t>
  </si>
  <si>
    <t>?</t>
  </si>
  <si>
    <t>Azure Data Bricks</t>
  </si>
  <si>
    <t>Cadastro</t>
  </si>
  <si>
    <t>SICRM</t>
  </si>
  <si>
    <t>SICRM – BASE DE CLIENTES</t>
  </si>
  <si>
    <t>Quantidade de arquivos carregados do BLOB para o DATABRICKS</t>
  </si>
  <si>
    <t>Quantidade de registros ativos</t>
  </si>
  <si>
    <t>Quantidade de registros após a implementação das regras de negócio</t>
  </si>
  <si>
    <t>Etapa adicionar o campo NU_CLIENTE</t>
  </si>
  <si>
    <t>Etapa carga de dados no destino</t>
  </si>
  <si>
    <t>Carga realizada com sucesso.</t>
  </si>
  <si>
    <t>Sete arquivos carregados</t>
  </si>
  <si>
    <t>chave composta tabela rictb004</t>
  </si>
  <si>
    <t>A chave composta não pode ser duplicada</t>
  </si>
  <si>
    <t>chave composta tabela icotbo10</t>
  </si>
  <si>
    <t>chave NU_AVALIACAO_TOMADOR_PF</t>
  </si>
  <si>
    <t>A chave NU_AVALIACAO_TOMADOR_PF não pode ser duplicada</t>
  </si>
  <si>
    <t>Executar os cmds 47-51</t>
  </si>
  <si>
    <t>Não existir código de NU_CLIENTE duplicado</t>
  </si>
  <si>
    <t>Executar os cmds 40-43</t>
  </si>
  <si>
    <t>Executar os cmds 35-38</t>
  </si>
  <si>
    <t>Executar os cmds 31-33</t>
  </si>
  <si>
    <t>Executar os cmds 28-30</t>
  </si>
  <si>
    <t>Executar os cmds 25-27</t>
  </si>
  <si>
    <t>Executar os cmds 1-14</t>
  </si>
  <si>
    <t>Executar o cmd de testes automatizados</t>
  </si>
  <si>
    <t>Executar os testes automatizados</t>
  </si>
  <si>
    <t>executar os cmds 29, 32, 35, 38, 40, 51.</t>
  </si>
  <si>
    <t>Execuitar os testes automatizados</t>
  </si>
  <si>
    <t>Os resultados esperados devem constar como "true".</t>
  </si>
  <si>
    <t>Evidências</t>
  </si>
  <si>
    <t>Imagens</t>
  </si>
  <si>
    <t>executar o cmd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</si>
</sst>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8"/>
      <color theme="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8"/>
      <color theme="3"/>
      <name val="Impact"/>
      <family val="2"/>
    </font>
    <font>
      <b/>
      <sz val="10"/>
      <color theme="3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44546A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gradientFill degree="90">
        <stop position="0">
          <color theme="3"/>
        </stop>
        <stop position="1">
          <color theme="4"/>
        </stop>
      </gradientFill>
    </fill>
    <fill>
      <patternFill patternType="solid">
        <fgColor indexed="9"/>
        <bgColor indexed="26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3" tint="0.39994506668294322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ck">
        <color theme="3" tint="0.39994506668294322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ck">
        <color theme="3" tint="0.39994506668294322"/>
      </top>
      <bottom style="thin">
        <color theme="0" tint="-0.249977111117893"/>
      </bottom>
      <diagonal/>
    </border>
    <border>
      <left/>
      <right/>
      <top style="thick">
        <color theme="3" tint="0.39994506668294322"/>
      </top>
      <bottom style="thin">
        <color theme="0" tint="-0.249977111117893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 style="thin">
        <color theme="0" tint="-0.249977111117893"/>
      </right>
      <top style="medium">
        <color rgb="FFBFBFBF"/>
      </top>
      <bottom/>
      <diagonal/>
    </border>
    <border>
      <left/>
      <right/>
      <top/>
      <bottom style="medium">
        <color rgb="FFBFBFBF"/>
      </bottom>
      <diagonal/>
    </border>
    <border>
      <left/>
      <right style="thin">
        <color theme="0" tint="-0.249977111117893"/>
      </right>
      <top/>
      <bottom style="medium">
        <color rgb="FFBFBFBF"/>
      </bottom>
      <diagonal/>
    </border>
    <border>
      <left/>
      <right style="thin">
        <color theme="0" tint="-0.249977111117893"/>
      </right>
      <top style="medium">
        <color rgb="FFBFBFBF"/>
      </top>
      <bottom style="medium">
        <color rgb="FFBFBFBF"/>
      </bottom>
      <diagonal/>
    </border>
  </borders>
  <cellStyleXfs count="3">
    <xf numFmtId="0" fontId="0" fillId="0" borderId="0"/>
    <xf numFmtId="0" fontId="2" fillId="0" borderId="0"/>
    <xf numFmtId="0" fontId="19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1" applyFont="1" applyAlignment="1" applyProtection="1">
      <alignment horizontal="center" vertical="center" wrapText="1"/>
      <protection locked="0"/>
    </xf>
    <xf numFmtId="49" fontId="3" fillId="0" borderId="0" xfId="1" applyNumberFormat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wrapText="1"/>
      <protection locked="0"/>
    </xf>
    <xf numFmtId="0" fontId="3" fillId="0" borderId="0" xfId="1" applyFont="1" applyAlignment="1" applyProtection="1">
      <alignment wrapText="1"/>
      <protection locked="0"/>
    </xf>
    <xf numFmtId="0" fontId="5" fillId="0" borderId="0" xfId="1" applyFont="1" applyProtection="1">
      <protection locked="0"/>
    </xf>
    <xf numFmtId="0" fontId="6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2" xfId="0" applyFont="1" applyBorder="1" applyProtection="1">
      <protection locked="0"/>
    </xf>
    <xf numFmtId="0" fontId="6" fillId="0" borderId="2" xfId="0" applyFont="1" applyBorder="1" applyAlignment="1" applyProtection="1">
      <alignment wrapText="1"/>
      <protection locked="0"/>
    </xf>
    <xf numFmtId="0" fontId="6" fillId="0" borderId="3" xfId="0" applyFont="1" applyBorder="1" applyAlignment="1" applyProtection="1">
      <alignment horizontal="center" wrapText="1"/>
      <protection locked="0"/>
    </xf>
    <xf numFmtId="0" fontId="6" fillId="0" borderId="0" xfId="0" applyFont="1" applyProtection="1">
      <protection locked="0"/>
    </xf>
    <xf numFmtId="0" fontId="6" fillId="0" borderId="4" xfId="0" applyFont="1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8" fillId="0" borderId="0" xfId="1" applyFont="1" applyAlignment="1" applyProtection="1">
      <alignment horizontal="right" vertical="center" wrapText="1"/>
      <protection locked="0"/>
    </xf>
    <xf numFmtId="0" fontId="7" fillId="2" borderId="5" xfId="1" applyFont="1" applyFill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center" wrapText="1"/>
      <protection locked="0"/>
    </xf>
    <xf numFmtId="0" fontId="3" fillId="0" borderId="4" xfId="1" applyFont="1" applyBorder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wrapText="1"/>
      <protection locked="0"/>
    </xf>
    <xf numFmtId="0" fontId="3" fillId="0" borderId="9" xfId="1" applyFont="1" applyBorder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4" xfId="1" applyFont="1" applyBorder="1" applyProtection="1">
      <protection locked="0"/>
    </xf>
    <xf numFmtId="0" fontId="5" fillId="0" borderId="0" xfId="1" applyFont="1" applyAlignment="1" applyProtection="1">
      <alignment horizontal="center"/>
      <protection locked="0"/>
    </xf>
    <xf numFmtId="0" fontId="5" fillId="0" borderId="9" xfId="1" applyFont="1" applyBorder="1" applyAlignment="1" applyProtection="1">
      <alignment horizontal="center" wrapText="1"/>
      <protection locked="0"/>
    </xf>
    <xf numFmtId="0" fontId="9" fillId="0" borderId="9" xfId="1" applyFont="1" applyBorder="1" applyAlignment="1" applyProtection="1">
      <alignment horizontal="right" wrapText="1"/>
      <protection locked="0"/>
    </xf>
    <xf numFmtId="0" fontId="5" fillId="0" borderId="10" xfId="1" applyFont="1" applyBorder="1" applyProtection="1">
      <protection locked="0"/>
    </xf>
    <xf numFmtId="0" fontId="5" fillId="0" borderId="11" xfId="1" applyFont="1" applyBorder="1" applyAlignment="1" applyProtection="1">
      <alignment horizontal="center"/>
      <protection locked="0"/>
    </xf>
    <xf numFmtId="0" fontId="5" fillId="0" borderId="11" xfId="1" applyFont="1" applyBorder="1" applyProtection="1">
      <protection locked="0"/>
    </xf>
    <xf numFmtId="0" fontId="5" fillId="0" borderId="11" xfId="1" applyFont="1" applyBorder="1" applyAlignment="1" applyProtection="1">
      <alignment wrapText="1"/>
      <protection locked="0"/>
    </xf>
    <xf numFmtId="0" fontId="5" fillId="0" borderId="12" xfId="1" applyFont="1" applyBorder="1" applyAlignment="1" applyProtection="1">
      <alignment horizontal="center" wrapText="1"/>
      <protection locked="0"/>
    </xf>
    <xf numFmtId="0" fontId="7" fillId="0" borderId="0" xfId="1" applyFont="1" applyAlignment="1" applyProtection="1">
      <alignment horizontal="right" vertical="center" wrapText="1"/>
      <protection locked="0"/>
    </xf>
    <xf numFmtId="0" fontId="10" fillId="5" borderId="13" xfId="1" applyFont="1" applyFill="1" applyBorder="1" applyAlignment="1" applyProtection="1">
      <alignment horizontal="center" vertical="center" wrapText="1"/>
      <protection locked="0"/>
    </xf>
    <xf numFmtId="0" fontId="8" fillId="6" borderId="0" xfId="1" applyFont="1" applyFill="1" applyAlignment="1" applyProtection="1">
      <alignment vertical="center" wrapText="1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wrapText="1"/>
      <protection locked="0"/>
    </xf>
    <xf numFmtId="49" fontId="7" fillId="0" borderId="0" xfId="0" applyNumberFormat="1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1" fillId="4" borderId="5" xfId="1" applyFont="1" applyFill="1" applyBorder="1" applyAlignment="1">
      <alignment horizontal="center" vertical="center" wrapText="1"/>
    </xf>
    <xf numFmtId="0" fontId="0" fillId="0" borderId="0" xfId="0" applyFont="1"/>
    <xf numFmtId="0" fontId="11" fillId="3" borderId="5" xfId="1" applyFont="1" applyFill="1" applyBorder="1" applyAlignment="1">
      <alignment horizontal="center" vertical="center" wrapText="1"/>
    </xf>
    <xf numFmtId="0" fontId="11" fillId="0" borderId="6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2" fillId="3" borderId="5" xfId="1" applyFont="1" applyFill="1" applyBorder="1" applyAlignment="1" applyProtection="1">
      <alignment horizontal="center" vertical="center" wrapText="1"/>
      <protection locked="0"/>
    </xf>
    <xf numFmtId="0" fontId="16" fillId="0" borderId="0" xfId="1" applyFont="1" applyProtection="1"/>
    <xf numFmtId="0" fontId="8" fillId="4" borderId="5" xfId="1" applyFont="1" applyFill="1" applyBorder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horizontal="center" vertical="center" wrapText="1"/>
      <protection locked="0"/>
    </xf>
    <xf numFmtId="0" fontId="12" fillId="3" borderId="6" xfId="1" applyFont="1" applyFill="1" applyBorder="1" applyAlignment="1" applyProtection="1">
      <alignment horizontal="center" vertical="center" wrapText="1"/>
      <protection locked="0"/>
    </xf>
    <xf numFmtId="0" fontId="7" fillId="0" borderId="0" xfId="1" applyFont="1" applyFill="1" applyBorder="1" applyAlignment="1" applyProtection="1">
      <alignment horizontal="left" vertical="center" wrapText="1"/>
      <protection locked="0"/>
    </xf>
    <xf numFmtId="49" fontId="7" fillId="0" borderId="0" xfId="1" applyNumberFormat="1" applyFont="1" applyFill="1" applyBorder="1" applyAlignment="1" applyProtection="1">
      <alignment horizontal="left" vertical="center" wrapText="1"/>
      <protection locked="0"/>
    </xf>
    <xf numFmtId="0" fontId="7" fillId="0" borderId="0" xfId="1" applyNumberFormat="1" applyFont="1" applyFill="1" applyBorder="1" applyAlignment="1" applyProtection="1">
      <alignment horizontal="left" vertical="center" wrapText="1"/>
      <protection locked="0"/>
    </xf>
    <xf numFmtId="0" fontId="5" fillId="0" borderId="0" xfId="1" applyFont="1" applyAlignment="1" applyProtection="1">
      <alignment horizontal="center" wrapText="1"/>
      <protection locked="0"/>
    </xf>
    <xf numFmtId="49" fontId="7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7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/>
      <protection locked="0"/>
    </xf>
    <xf numFmtId="0" fontId="17" fillId="0" borderId="0" xfId="1" applyFont="1" applyAlignment="1" applyProtection="1">
      <alignment horizontal="center" wrapText="1"/>
      <protection locked="0"/>
    </xf>
    <xf numFmtId="0" fontId="17" fillId="0" borderId="0" xfId="1" applyFont="1" applyFill="1" applyAlignment="1" applyProtection="1">
      <alignment horizontal="center" wrapText="1"/>
      <protection locked="0"/>
    </xf>
    <xf numFmtId="0" fontId="17" fillId="0" borderId="0" xfId="1" applyFont="1" applyAlignment="1" applyProtection="1">
      <alignment horizontal="right"/>
      <protection locked="0"/>
    </xf>
    <xf numFmtId="0" fontId="8" fillId="3" borderId="5" xfId="1" applyFont="1" applyFill="1" applyBorder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right" vertical="center"/>
      <protection locked="0"/>
    </xf>
    <xf numFmtId="0" fontId="7" fillId="0" borderId="5" xfId="0" applyFont="1" applyFill="1" applyBorder="1" applyAlignment="1">
      <alignment vertical="center" wrapText="1"/>
    </xf>
    <xf numFmtId="0" fontId="3" fillId="0" borderId="0" xfId="1" applyFont="1" applyFill="1" applyAlignment="1" applyProtection="1">
      <alignment horizontal="center" vertical="center"/>
      <protection locked="0"/>
    </xf>
    <xf numFmtId="0" fontId="7" fillId="0" borderId="5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 applyProtection="1">
      <alignment horizontal="center" vertical="center"/>
      <protection locked="0"/>
    </xf>
    <xf numFmtId="0" fontId="7" fillId="0" borderId="8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Protection="1">
      <protection locked="0"/>
    </xf>
    <xf numFmtId="14" fontId="7" fillId="2" borderId="5" xfId="1" applyNumberFormat="1" applyFont="1" applyFill="1" applyBorder="1" applyAlignment="1" applyProtection="1">
      <alignment horizontal="left" vertical="center" wrapText="1"/>
      <protection locked="0"/>
    </xf>
    <xf numFmtId="0" fontId="7" fillId="0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10" fillId="5" borderId="14" xfId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>
      <alignment vertical="center" wrapText="1"/>
    </xf>
    <xf numFmtId="0" fontId="12" fillId="3" borderId="5" xfId="1" applyFont="1" applyFill="1" applyBorder="1" applyAlignment="1" applyProtection="1">
      <alignment horizontal="center" vertical="center" wrapText="1"/>
      <protection locked="0"/>
    </xf>
    <xf numFmtId="0" fontId="12" fillId="3" borderId="6" xfId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>
      <alignment vertical="center" wrapText="1"/>
    </xf>
    <xf numFmtId="0" fontId="3" fillId="0" borderId="0" xfId="1" applyFont="1" applyFill="1" applyAlignment="1" applyProtection="1">
      <alignment horizontal="center" vertical="center"/>
      <protection locked="0"/>
    </xf>
    <xf numFmtId="0" fontId="7" fillId="0" borderId="5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6" fillId="0" borderId="0" xfId="0" applyFont="1" applyFill="1" applyProtection="1">
      <protection locked="0"/>
    </xf>
    <xf numFmtId="0" fontId="18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8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vertical="center" wrapText="1"/>
    </xf>
    <xf numFmtId="0" fontId="10" fillId="5" borderId="15" xfId="1" applyFont="1" applyFill="1" applyBorder="1" applyAlignment="1" applyProtection="1">
      <alignment horizontal="center" vertical="center" wrapText="1"/>
      <protection locked="0"/>
    </xf>
    <xf numFmtId="0" fontId="10" fillId="5" borderId="16" xfId="1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0" fillId="5" borderId="14" xfId="1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  <xf numFmtId="0" fontId="10" fillId="0" borderId="16" xfId="1" applyFont="1" applyFill="1" applyBorder="1" applyAlignment="1" applyProtection="1">
      <alignment vertical="center" wrapText="1"/>
      <protection locked="0"/>
    </xf>
    <xf numFmtId="0" fontId="10" fillId="0" borderId="15" xfId="1" applyFont="1" applyFill="1" applyBorder="1" applyAlignment="1" applyProtection="1">
      <alignment vertical="center" wrapText="1"/>
      <protection locked="0"/>
    </xf>
    <xf numFmtId="0" fontId="10" fillId="0" borderId="15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1" fillId="4" borderId="6" xfId="1" applyFont="1" applyFill="1" applyBorder="1" applyAlignment="1">
      <alignment horizontal="center" vertical="center" wrapText="1"/>
    </xf>
    <xf numFmtId="0" fontId="1" fillId="4" borderId="7" xfId="1" applyFont="1" applyFill="1" applyBorder="1" applyAlignment="1">
      <alignment horizontal="center" vertical="center" wrapText="1"/>
    </xf>
    <xf numFmtId="0" fontId="1" fillId="4" borderId="8" xfId="1" applyFont="1" applyFill="1" applyBorder="1" applyAlignment="1">
      <alignment horizontal="center" vertical="center" wrapText="1"/>
    </xf>
    <xf numFmtId="0" fontId="13" fillId="0" borderId="6" xfId="1" applyFont="1" applyBorder="1" applyAlignment="1">
      <alignment horizontal="left" vertical="top" wrapText="1"/>
    </xf>
    <xf numFmtId="0" fontId="13" fillId="0" borderId="7" xfId="1" applyFont="1" applyBorder="1" applyAlignment="1">
      <alignment horizontal="left" vertical="top" wrapText="1"/>
    </xf>
    <xf numFmtId="0" fontId="13" fillId="0" borderId="8" xfId="1" applyFont="1" applyBorder="1" applyAlignment="1">
      <alignment horizontal="left" vertical="top" wrapText="1"/>
    </xf>
    <xf numFmtId="0" fontId="14" fillId="0" borderId="0" xfId="1" applyFont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8" fillId="4" borderId="6" xfId="1" applyFont="1" applyFill="1" applyBorder="1" applyAlignment="1" applyProtection="1">
      <alignment vertical="center" wrapText="1"/>
      <protection locked="0"/>
    </xf>
    <xf numFmtId="0" fontId="8" fillId="4" borderId="8" xfId="1" applyFont="1" applyFill="1" applyBorder="1" applyAlignment="1" applyProtection="1">
      <alignment vertical="center" wrapText="1"/>
      <protection locked="0"/>
    </xf>
    <xf numFmtId="0" fontId="7" fillId="2" borderId="6" xfId="1" applyFont="1" applyFill="1" applyBorder="1" applyAlignment="1" applyProtection="1">
      <alignment vertical="center" wrapText="1"/>
      <protection locked="0"/>
    </xf>
    <xf numFmtId="0" fontId="7" fillId="2" borderId="8" xfId="1" applyFont="1" applyFill="1" applyBorder="1" applyAlignment="1" applyProtection="1">
      <alignment vertical="center" wrapText="1"/>
      <protection locked="0"/>
    </xf>
    <xf numFmtId="0" fontId="18" fillId="0" borderId="22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0" fillId="5" borderId="14" xfId="1" applyFont="1" applyFill="1" applyBorder="1" applyAlignment="1" applyProtection="1">
      <alignment horizontal="center" vertical="center" wrapText="1"/>
      <protection locked="0"/>
    </xf>
    <xf numFmtId="0" fontId="10" fillId="5" borderId="15" xfId="1" applyFont="1" applyFill="1" applyBorder="1" applyAlignment="1" applyProtection="1">
      <alignment horizontal="center" vertical="center" wrapText="1"/>
      <protection locked="0"/>
    </xf>
    <xf numFmtId="0" fontId="10" fillId="5" borderId="16" xfId="1" applyFont="1" applyFill="1" applyBorder="1" applyAlignment="1" applyProtection="1">
      <alignment horizontal="center" vertical="center" wrapText="1"/>
      <protection locked="0"/>
    </xf>
    <xf numFmtId="0" fontId="6" fillId="0" borderId="23" xfId="0" applyFont="1" applyFill="1" applyBorder="1" applyAlignment="1" applyProtection="1">
      <alignment horizontal="center"/>
      <protection locked="0"/>
    </xf>
    <xf numFmtId="0" fontId="6" fillId="0" borderId="24" xfId="0" applyFont="1" applyFill="1" applyBorder="1" applyAlignment="1" applyProtection="1">
      <alignment horizontal="center"/>
      <protection locked="0"/>
    </xf>
    <xf numFmtId="0" fontId="6" fillId="0" borderId="25" xfId="0" applyFont="1" applyFill="1" applyBorder="1" applyAlignment="1" applyProtection="1">
      <alignment horizontal="center"/>
      <protection locked="0"/>
    </xf>
    <xf numFmtId="0" fontId="6" fillId="0" borderId="26" xfId="0" applyFont="1" applyFill="1" applyBorder="1" applyAlignment="1" applyProtection="1">
      <alignment horizontal="center"/>
      <protection locked="0"/>
    </xf>
    <xf numFmtId="0" fontId="7" fillId="0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left" vertical="center"/>
      <protection locked="0"/>
    </xf>
    <xf numFmtId="0" fontId="18" fillId="0" borderId="27" xfId="0" applyFont="1" applyBorder="1" applyAlignment="1">
      <alignment horizontal="center" vertical="center" wrapText="1"/>
    </xf>
    <xf numFmtId="0" fontId="19" fillId="0" borderId="0" xfId="2" applyBorder="1" applyAlignment="1">
      <alignment horizontal="center" vertical="center" wrapText="1"/>
    </xf>
    <xf numFmtId="0" fontId="19" fillId="0" borderId="9" xfId="2" applyBorder="1" applyAlignment="1">
      <alignment horizontal="center" vertical="center" wrapText="1"/>
    </xf>
    <xf numFmtId="0" fontId="19" fillId="0" borderId="9" xfId="2" applyFill="1" applyBorder="1" applyAlignment="1" applyProtection="1">
      <alignment horizontal="center" vertical="center"/>
      <protection locked="0"/>
    </xf>
    <xf numFmtId="0" fontId="19" fillId="0" borderId="0" xfId="2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</cellXfs>
  <cellStyles count="3">
    <cellStyle name="Hi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3" Type="http://schemas.openxmlformats.org/officeDocument/2006/relationships/image" Target="../media/image6.jpg"/><Relationship Id="rId7" Type="http://schemas.openxmlformats.org/officeDocument/2006/relationships/image" Target="../media/image10.jp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5" Type="http://schemas.openxmlformats.org/officeDocument/2006/relationships/image" Target="../media/image8.jpg"/><Relationship Id="rId4" Type="http://schemas.openxmlformats.org/officeDocument/2006/relationships/image" Target="../media/image7.jpg"/><Relationship Id="rId9" Type="http://schemas.openxmlformats.org/officeDocument/2006/relationships/image" Target="../media/image12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13261</xdr:colOff>
      <xdr:row>3</xdr:row>
      <xdr:rowOff>131108</xdr:rowOff>
    </xdr:from>
    <xdr:to>
      <xdr:col>1</xdr:col>
      <xdr:colOff>2509184</xdr:colOff>
      <xdr:row>7</xdr:row>
      <xdr:rowOff>50240</xdr:rowOff>
    </xdr:to>
    <xdr:sp macro="" textlink="">
      <xdr:nvSpPr>
        <xdr:cNvPr id="3" name="CaixaDeTexto 4">
          <a:extLst>
            <a:ext uri="{FF2B5EF4-FFF2-40B4-BE49-F238E27FC236}">
              <a16:creationId xmlns:a16="http://schemas.microsoft.com/office/drawing/2014/main" id="{99A3E13F-2CC2-41B5-A563-F340243CB615}"/>
            </a:ext>
          </a:extLst>
        </xdr:cNvPr>
        <xdr:cNvSpPr txBox="1"/>
      </xdr:nvSpPr>
      <xdr:spPr bwMode="auto">
        <a:xfrm>
          <a:off x="184711" y="404158"/>
          <a:ext cx="2495923" cy="655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rPr>
            <a:t>ROTEIRO DE TESTES </a:t>
          </a:r>
        </a:p>
        <a:p>
          <a:pPr algn="l"/>
          <a:r>
            <a:rPr lang="pt-BR" sz="1100" b="1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Introdução</a:t>
          </a:r>
        </a:p>
      </xdr:txBody>
    </xdr:sp>
    <xdr:clientData/>
  </xdr:twoCellAnchor>
  <xdr:twoCellAnchor editAs="oneCell">
    <xdr:from>
      <xdr:col>1</xdr:col>
      <xdr:colOff>82551</xdr:colOff>
      <xdr:row>2</xdr:row>
      <xdr:rowOff>69851</xdr:rowOff>
    </xdr:from>
    <xdr:to>
      <xdr:col>1</xdr:col>
      <xdr:colOff>1371601</xdr:colOff>
      <xdr:row>4</xdr:row>
      <xdr:rowOff>33289</xdr:rowOff>
    </xdr:to>
    <xdr:pic>
      <xdr:nvPicPr>
        <xdr:cNvPr id="6" name="Picture 5" descr="Image result for caixa png">
          <a:extLst>
            <a:ext uri="{FF2B5EF4-FFF2-40B4-BE49-F238E27FC236}">
              <a16:creationId xmlns:a16="http://schemas.microsoft.com/office/drawing/2014/main" id="{4B7CBB74-7662-4B0A-9CB2-A2862289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1" y="171451"/>
          <a:ext cx="1289050" cy="293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2572236</xdr:colOff>
      <xdr:row>2</xdr:row>
      <xdr:rowOff>142619</xdr:rowOff>
    </xdr:from>
    <xdr:to>
      <xdr:col>3</xdr:col>
      <xdr:colOff>3616673</xdr:colOff>
      <xdr:row>6</xdr:row>
      <xdr:rowOff>44062</xdr:rowOff>
    </xdr:to>
    <xdr:pic>
      <xdr:nvPicPr>
        <xdr:cNvPr id="9" name="Picture 8" descr="S285_sas100K_TPTK100K">
          <a:extLst>
            <a:ext uri="{FF2B5EF4-FFF2-40B4-BE49-F238E27FC236}">
              <a16:creationId xmlns:a16="http://schemas.microsoft.com/office/drawing/2014/main" id="{B00DFD78-43C7-419D-B593-424D80FADF59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686" y="244219"/>
          <a:ext cx="1044437" cy="549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373877</xdr:colOff>
      <xdr:row>2</xdr:row>
      <xdr:rowOff>112740</xdr:rowOff>
    </xdr:from>
    <xdr:to>
      <xdr:col>3</xdr:col>
      <xdr:colOff>2245148</xdr:colOff>
      <xdr:row>6</xdr:row>
      <xdr:rowOff>100038</xdr:rowOff>
    </xdr:to>
    <xdr:pic>
      <xdr:nvPicPr>
        <xdr:cNvPr id="10" name="Picture 9" descr="VERT_LOGO_CMYK_POSITIVO">
          <a:extLst>
            <a:ext uri="{FF2B5EF4-FFF2-40B4-BE49-F238E27FC236}">
              <a16:creationId xmlns:a16="http://schemas.microsoft.com/office/drawing/2014/main" id="{4D4784AD-90B6-4E3B-894E-2766C43CB914}"/>
            </a:ext>
          </a:extLst>
        </xdr:cNvPr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5327" y="214340"/>
          <a:ext cx="1871271" cy="6349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13261</xdr:colOff>
      <xdr:row>3</xdr:row>
      <xdr:rowOff>131108</xdr:rowOff>
    </xdr:from>
    <xdr:to>
      <xdr:col>4</xdr:col>
      <xdr:colOff>200399</xdr:colOff>
      <xdr:row>10</xdr:row>
      <xdr:rowOff>1027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C209A9A-354E-4A49-9BF6-D28B7933DCEC}"/>
            </a:ext>
          </a:extLst>
        </xdr:cNvPr>
        <xdr:cNvSpPr txBox="1"/>
      </xdr:nvSpPr>
      <xdr:spPr bwMode="auto">
        <a:xfrm>
          <a:off x="73026" y="407520"/>
          <a:ext cx="2495549" cy="747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rPr>
            <a:t>ROTEIRO DE TESTES </a:t>
          </a:r>
        </a:p>
        <a:p>
          <a:pPr algn="l"/>
          <a:r>
            <a:rPr lang="pt-BR" sz="1100" b="1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Caderno de Testes</a:t>
          </a:r>
        </a:p>
      </xdr:txBody>
    </xdr:sp>
    <xdr:clientData/>
  </xdr:twoCellAnchor>
  <xdr:twoCellAnchor editAs="oneCell">
    <xdr:from>
      <xdr:col>17</xdr:col>
      <xdr:colOff>2131831</xdr:colOff>
      <xdr:row>3</xdr:row>
      <xdr:rowOff>14939</xdr:rowOff>
    </xdr:from>
    <xdr:to>
      <xdr:col>18</xdr:col>
      <xdr:colOff>1664</xdr:colOff>
      <xdr:row>6</xdr:row>
      <xdr:rowOff>93435</xdr:rowOff>
    </xdr:to>
    <xdr:pic>
      <xdr:nvPicPr>
        <xdr:cNvPr id="9" name="Picture 8" descr="S285_sas100K_TPTK100K">
          <a:extLst>
            <a:ext uri="{FF2B5EF4-FFF2-40B4-BE49-F238E27FC236}">
              <a16:creationId xmlns:a16="http://schemas.microsoft.com/office/drawing/2014/main" id="{0060F895-178F-4A8B-9B9E-89DF633DA72A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5772" y="291351"/>
          <a:ext cx="1058110" cy="549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135925</xdr:colOff>
      <xdr:row>2</xdr:row>
      <xdr:rowOff>156884</xdr:rowOff>
    </xdr:from>
    <xdr:to>
      <xdr:col>17</xdr:col>
      <xdr:colOff>2007196</xdr:colOff>
      <xdr:row>6</xdr:row>
      <xdr:rowOff>149411</xdr:rowOff>
    </xdr:to>
    <xdr:pic>
      <xdr:nvPicPr>
        <xdr:cNvPr id="10" name="Picture 9" descr="VERT_LOGO_CMYK_POSITIVO">
          <a:extLst>
            <a:ext uri="{FF2B5EF4-FFF2-40B4-BE49-F238E27FC236}">
              <a16:creationId xmlns:a16="http://schemas.microsoft.com/office/drawing/2014/main" id="{967EBAEB-6905-4D12-8DDD-675C5310CB77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4101" y="261472"/>
          <a:ext cx="1871271" cy="63499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97117</xdr:colOff>
      <xdr:row>2</xdr:row>
      <xdr:rowOff>149411</xdr:rowOff>
    </xdr:from>
    <xdr:to>
      <xdr:col>3</xdr:col>
      <xdr:colOff>213285</xdr:colOff>
      <xdr:row>4</xdr:row>
      <xdr:rowOff>114343</xdr:rowOff>
    </xdr:to>
    <xdr:pic>
      <xdr:nvPicPr>
        <xdr:cNvPr id="6" name="Picture 5" descr="Image result for caixa png">
          <a:extLst>
            <a:ext uri="{FF2B5EF4-FFF2-40B4-BE49-F238E27FC236}">
              <a16:creationId xmlns:a16="http://schemas.microsoft.com/office/drawing/2014/main" id="{39FE8BE8-B682-4613-87AB-D0820DEF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253999"/>
          <a:ext cx="1289050" cy="293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581025</xdr:colOff>
      <xdr:row>14</xdr:row>
      <xdr:rowOff>9525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A408B4D4-C2A4-4763-97F1-305807876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00025"/>
          <a:ext cx="6400800" cy="2486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10</xdr:col>
      <xdr:colOff>142875</xdr:colOff>
      <xdr:row>20</xdr:row>
      <xdr:rowOff>114300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BAD55A33-DDC4-48DB-B593-FF2479C85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867025"/>
          <a:ext cx="596265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13</xdr:col>
      <xdr:colOff>123825</xdr:colOff>
      <xdr:row>52</xdr:row>
      <xdr:rowOff>49777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8F3DDC6E-81F6-416A-86B6-11134E9AB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010025"/>
          <a:ext cx="7772400" cy="59552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13</xdr:col>
      <xdr:colOff>123825</xdr:colOff>
      <xdr:row>61</xdr:row>
      <xdr:rowOff>110339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94470E2B-0DEC-498E-B7F3-1BB609403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0106025"/>
          <a:ext cx="7772400" cy="1634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13</xdr:col>
      <xdr:colOff>123825</xdr:colOff>
      <xdr:row>81</xdr:row>
      <xdr:rowOff>168017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8FA30BD2-F787-47D3-BA6A-EB4CA968B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1820525"/>
          <a:ext cx="7772400" cy="37875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13</xdr:col>
      <xdr:colOff>123825</xdr:colOff>
      <xdr:row>101</xdr:row>
      <xdr:rowOff>168017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7B3B62B7-8BDA-4AED-9EED-4B82BC5E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5630525"/>
          <a:ext cx="7772400" cy="37875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13</xdr:col>
      <xdr:colOff>123825</xdr:colOff>
      <xdr:row>129</xdr:row>
      <xdr:rowOff>20354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9EED6D0-146F-4C1E-AFEC-832E43F42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440525"/>
          <a:ext cx="7772400" cy="516385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129</xdr:row>
      <xdr:rowOff>123825</xdr:rowOff>
    </xdr:from>
    <xdr:to>
      <xdr:col>13</xdr:col>
      <xdr:colOff>38100</xdr:colOff>
      <xdr:row>148</xdr:row>
      <xdr:rowOff>85725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706A06F3-1C7A-453A-8255-B26BADD5E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707850"/>
          <a:ext cx="7658100" cy="3581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13</xdr:col>
      <xdr:colOff>123825</xdr:colOff>
      <xdr:row>168</xdr:row>
      <xdr:rowOff>154484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2EB14B73-DB04-4307-A8BE-939293338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8394025"/>
          <a:ext cx="7772400" cy="37739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13261</xdr:colOff>
      <xdr:row>3</xdr:row>
      <xdr:rowOff>131108</xdr:rowOff>
    </xdr:from>
    <xdr:to>
      <xdr:col>2</xdr:col>
      <xdr:colOff>1486834</xdr:colOff>
      <xdr:row>7</xdr:row>
      <xdr:rowOff>151840</xdr:rowOff>
    </xdr:to>
    <xdr:sp macro="" textlink="">
      <xdr:nvSpPr>
        <xdr:cNvPr id="11" name="CaixaDeTexto 4">
          <a:extLst>
            <a:ext uri="{FF2B5EF4-FFF2-40B4-BE49-F238E27FC236}">
              <a16:creationId xmlns:a16="http://schemas.microsoft.com/office/drawing/2014/main" id="{9C0F398D-6123-4E5B-8E56-D6169F6D2BDF}"/>
            </a:ext>
          </a:extLst>
        </xdr:cNvPr>
        <xdr:cNvSpPr txBox="1"/>
      </xdr:nvSpPr>
      <xdr:spPr bwMode="auto">
        <a:xfrm>
          <a:off x="70411" y="404158"/>
          <a:ext cx="2495923" cy="757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rPr>
            <a:t>ROTEIRO DE TESTES </a:t>
          </a:r>
        </a:p>
        <a:p>
          <a:pPr algn="l"/>
          <a:r>
            <a:rPr lang="pt-BR" sz="1100" b="1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Glossário</a:t>
          </a:r>
        </a:p>
      </xdr:txBody>
    </xdr:sp>
    <xdr:clientData/>
  </xdr:twoCellAnchor>
  <xdr:twoCellAnchor editAs="oneCell">
    <xdr:from>
      <xdr:col>3</xdr:col>
      <xdr:colOff>7150587</xdr:colOff>
      <xdr:row>3</xdr:row>
      <xdr:rowOff>2919</xdr:rowOff>
    </xdr:from>
    <xdr:to>
      <xdr:col>4</xdr:col>
      <xdr:colOff>1</xdr:colOff>
      <xdr:row>6</xdr:row>
      <xdr:rowOff>75812</xdr:rowOff>
    </xdr:to>
    <xdr:pic>
      <xdr:nvPicPr>
        <xdr:cNvPr id="7" name="Picture 6" descr="S285_sas100K_TPTK100K">
          <a:extLst>
            <a:ext uri="{FF2B5EF4-FFF2-40B4-BE49-F238E27FC236}">
              <a16:creationId xmlns:a16="http://schemas.microsoft.com/office/drawing/2014/main" id="{892792AA-BA2F-4B53-89F2-A5262211CCE4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1137" y="275969"/>
          <a:ext cx="1136164" cy="549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4952227</xdr:colOff>
      <xdr:row>2</xdr:row>
      <xdr:rowOff>144490</xdr:rowOff>
    </xdr:from>
    <xdr:to>
      <xdr:col>3</xdr:col>
      <xdr:colOff>6823498</xdr:colOff>
      <xdr:row>6</xdr:row>
      <xdr:rowOff>131788</xdr:rowOff>
    </xdr:to>
    <xdr:pic>
      <xdr:nvPicPr>
        <xdr:cNvPr id="8" name="Picture 7" descr="VERT_LOGO_CMYK_POSITIVO">
          <a:extLst>
            <a:ext uri="{FF2B5EF4-FFF2-40B4-BE49-F238E27FC236}">
              <a16:creationId xmlns:a16="http://schemas.microsoft.com/office/drawing/2014/main" id="{7AC15246-9D47-4752-87B7-F8F49E7A3EF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9127" y="246090"/>
          <a:ext cx="1871271" cy="63499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88900</xdr:colOff>
      <xdr:row>2</xdr:row>
      <xdr:rowOff>88900</xdr:rowOff>
    </xdr:from>
    <xdr:to>
      <xdr:col>2</xdr:col>
      <xdr:colOff>355600</xdr:colOff>
      <xdr:row>4</xdr:row>
      <xdr:rowOff>52338</xdr:rowOff>
    </xdr:to>
    <xdr:pic>
      <xdr:nvPicPr>
        <xdr:cNvPr id="9" name="Picture 8" descr="Image result for caixa png">
          <a:extLst>
            <a:ext uri="{FF2B5EF4-FFF2-40B4-BE49-F238E27FC236}">
              <a16:creationId xmlns:a16="http://schemas.microsoft.com/office/drawing/2014/main" id="{BF98094F-95AB-4958-8EB5-9A229A9D1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90500"/>
          <a:ext cx="1289050" cy="293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zoomScaleNormal="100" workbookViewId="0">
      <selection activeCell="B12" sqref="B12:D12"/>
    </sheetView>
  </sheetViews>
  <sheetFormatPr defaultRowHeight="15" x14ac:dyDescent="0.25"/>
  <cols>
    <col min="1" max="1" width="2.42578125" customWidth="1"/>
    <col min="2" max="4" width="54.5703125" customWidth="1"/>
  </cols>
  <sheetData>
    <row r="1" spans="1:15" s="5" customFormat="1" ht="5.25" customHeight="1" x14ac:dyDescent="0.2">
      <c r="A1" s="1"/>
      <c r="B1" s="1"/>
      <c r="C1" s="1"/>
      <c r="D1" s="1"/>
      <c r="E1" s="1"/>
      <c r="F1" s="1"/>
      <c r="G1" s="1"/>
      <c r="H1" s="1"/>
      <c r="I1" s="3"/>
      <c r="J1" s="3"/>
      <c r="K1" s="4"/>
      <c r="L1" s="4"/>
      <c r="M1" s="4"/>
      <c r="N1" s="4"/>
      <c r="O1" s="4"/>
    </row>
    <row r="2" spans="1:15" s="11" customFormat="1" ht="3" customHeight="1" x14ac:dyDescent="0.2">
      <c r="A2" s="1"/>
      <c r="B2" s="6"/>
      <c r="C2" s="7"/>
      <c r="D2" s="10"/>
      <c r="E2" s="41"/>
    </row>
    <row r="3" spans="1:15" s="11" customFormat="1" ht="13.5" customHeight="1" x14ac:dyDescent="0.2">
      <c r="A3" s="1"/>
      <c r="B3" s="12"/>
      <c r="C3" s="13"/>
      <c r="D3" s="17"/>
    </row>
    <row r="4" spans="1:15" s="5" customFormat="1" ht="12.75" customHeight="1" x14ac:dyDescent="0.2">
      <c r="A4" s="1"/>
      <c r="B4" s="18"/>
      <c r="C4" s="113" t="s">
        <v>79</v>
      </c>
      <c r="D4" s="20"/>
      <c r="E4" s="4"/>
      <c r="F4" s="4"/>
      <c r="G4" s="4"/>
      <c r="H4" s="4"/>
    </row>
    <row r="5" spans="1:15" s="5" customFormat="1" ht="12.75" customHeight="1" x14ac:dyDescent="0.2">
      <c r="A5" s="21"/>
      <c r="B5" s="22"/>
      <c r="C5" s="113"/>
      <c r="D5" s="24"/>
    </row>
    <row r="6" spans="1:15" s="5" customFormat="1" ht="12.75" customHeight="1" x14ac:dyDescent="0.2">
      <c r="A6" s="21"/>
      <c r="B6" s="22"/>
      <c r="C6" s="113"/>
      <c r="D6" s="24"/>
    </row>
    <row r="7" spans="1:15" s="5" customFormat="1" ht="12.75" customHeight="1" x14ac:dyDescent="0.2">
      <c r="A7" s="21"/>
      <c r="B7" s="22"/>
      <c r="C7" s="113"/>
      <c r="D7" s="24"/>
    </row>
    <row r="8" spans="1:15" s="5" customFormat="1" ht="12.75" customHeight="1" x14ac:dyDescent="0.2">
      <c r="A8" s="21"/>
      <c r="B8" s="22"/>
      <c r="C8" s="23"/>
      <c r="D8" s="25" t="s">
        <v>0</v>
      </c>
    </row>
    <row r="9" spans="1:15" s="5" customFormat="1" ht="3" customHeight="1" x14ac:dyDescent="0.2">
      <c r="A9" s="21"/>
      <c r="B9" s="26"/>
      <c r="C9" s="27"/>
      <c r="D9" s="30"/>
    </row>
    <row r="10" spans="1:15" s="5" customFormat="1" ht="4.5" customHeight="1" x14ac:dyDescent="0.2">
      <c r="A10" s="1"/>
      <c r="C10" s="31"/>
      <c r="D10" s="1"/>
      <c r="E10" s="1"/>
      <c r="F10" s="1"/>
      <c r="G10" s="1"/>
      <c r="H10" s="1"/>
      <c r="I10" s="3"/>
      <c r="J10" s="3"/>
      <c r="K10" s="4"/>
      <c r="L10" s="4"/>
      <c r="M10" s="4"/>
      <c r="N10" s="4"/>
      <c r="O10" s="4"/>
    </row>
    <row r="11" spans="1:15" s="45" customFormat="1" x14ac:dyDescent="0.25">
      <c r="B11" s="107" t="s">
        <v>1</v>
      </c>
      <c r="C11" s="108"/>
      <c r="D11" s="109"/>
    </row>
    <row r="12" spans="1:15" s="45" customFormat="1" ht="177.6" customHeight="1" x14ac:dyDescent="0.25">
      <c r="B12" s="110" t="s">
        <v>2</v>
      </c>
      <c r="C12" s="111"/>
      <c r="D12" s="112"/>
    </row>
  </sheetData>
  <mergeCells count="3">
    <mergeCell ref="B11:D11"/>
    <mergeCell ref="B12:D12"/>
    <mergeCell ref="C4:C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3"/>
  <dimension ref="A1:AC72"/>
  <sheetViews>
    <sheetView showGridLines="0" tabSelected="1" topLeftCell="G1" zoomScale="110" zoomScaleNormal="110" workbookViewId="0">
      <pane ySplit="11" topLeftCell="A12" activePane="bottomLeft" state="frozen"/>
      <selection activeCell="B13" sqref="B13"/>
      <selection pane="bottomLeft" activeCell="N20" sqref="N20"/>
    </sheetView>
  </sheetViews>
  <sheetFormatPr defaultColWidth="0" defaultRowHeight="0" customHeight="1" zeroHeight="1" x14ac:dyDescent="0.2"/>
  <cols>
    <col min="1" max="1" width="0.85546875" style="35" customWidth="1"/>
    <col min="2" max="2" width="5.5703125" style="36" customWidth="1"/>
    <col min="3" max="3" width="11.140625" style="37" bestFit="1" customWidth="1"/>
    <col min="4" max="4" width="16.28515625" style="37" bestFit="1" customWidth="1"/>
    <col min="5" max="5" width="11.140625" style="37" bestFit="1" customWidth="1"/>
    <col min="6" max="6" width="21.5703125" style="37" customWidth="1"/>
    <col min="7" max="7" width="42.140625" style="36" customWidth="1"/>
    <col min="8" max="8" width="38.42578125" style="36" customWidth="1"/>
    <col min="9" max="9" width="5.28515625" style="38" customWidth="1"/>
    <col min="10" max="10" width="2.85546875" style="38" customWidth="1"/>
    <col min="11" max="11" width="24.5703125" style="38" customWidth="1"/>
    <col min="12" max="12" width="4.85546875" style="38" customWidth="1"/>
    <col min="13" max="13" width="2.85546875" style="38" customWidth="1"/>
    <col min="14" max="14" width="11.28515625" style="38" customWidth="1"/>
    <col min="15" max="16" width="8.85546875" style="52" customWidth="1"/>
    <col min="17" max="17" width="16.42578125" style="39" customWidth="1"/>
    <col min="18" max="18" width="47.5703125" style="40" customWidth="1"/>
    <col min="19" max="19" width="22.7109375" style="41" customWidth="1"/>
    <col min="20" max="21" width="0.85546875" style="11" customWidth="1"/>
    <col min="22" max="266" width="9.140625" style="11" customWidth="1"/>
    <col min="267" max="16384" width="0" style="11" hidden="1"/>
  </cols>
  <sheetData>
    <row r="1" spans="1:29" s="5" customFormat="1" ht="5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1"/>
      <c r="S1" s="1"/>
      <c r="T1" s="1"/>
      <c r="U1" s="1"/>
      <c r="V1" s="1"/>
      <c r="W1" s="3"/>
      <c r="X1" s="3"/>
      <c r="Y1" s="4"/>
      <c r="Z1" s="4"/>
      <c r="AA1" s="4"/>
      <c r="AB1" s="4"/>
      <c r="AC1" s="4"/>
    </row>
    <row r="2" spans="1:29" ht="3" customHeight="1" x14ac:dyDescent="0.2">
      <c r="A2" s="1">
        <v>0</v>
      </c>
      <c r="B2" s="6"/>
      <c r="C2" s="7"/>
      <c r="D2" s="7"/>
      <c r="E2" s="7"/>
      <c r="F2" s="7"/>
      <c r="G2" s="8"/>
      <c r="H2" s="8"/>
      <c r="I2" s="9"/>
      <c r="J2" s="9"/>
      <c r="K2" s="9"/>
      <c r="L2" s="9"/>
      <c r="M2" s="9"/>
      <c r="N2" s="9"/>
      <c r="O2" s="7"/>
      <c r="P2" s="7"/>
      <c r="Q2" s="8"/>
      <c r="R2" s="10"/>
    </row>
    <row r="3" spans="1:29" ht="13.5" customHeight="1" x14ac:dyDescent="0.2">
      <c r="A3" s="1"/>
      <c r="B3" s="12"/>
      <c r="C3" s="13"/>
      <c r="D3" s="13"/>
      <c r="E3" s="13"/>
      <c r="F3" s="65" t="s">
        <v>3</v>
      </c>
      <c r="G3" s="15" t="s">
        <v>75</v>
      </c>
      <c r="H3" s="65" t="s">
        <v>4</v>
      </c>
      <c r="I3" s="64">
        <f>COUNTA(B:B)-15</f>
        <v>9</v>
      </c>
      <c r="J3" s="54"/>
      <c r="K3" s="5"/>
      <c r="L3" s="57"/>
      <c r="M3" s="39"/>
      <c r="N3" s="39"/>
      <c r="O3" s="51" t="s">
        <v>5</v>
      </c>
      <c r="P3" s="125" t="s">
        <v>6</v>
      </c>
      <c r="Q3" s="126"/>
      <c r="R3" s="17"/>
    </row>
    <row r="4" spans="1:29" s="5" customFormat="1" ht="12.75" customHeight="1" x14ac:dyDescent="0.2">
      <c r="A4" s="1"/>
      <c r="B4" s="18"/>
      <c r="C4" s="1"/>
      <c r="D4" s="1"/>
      <c r="E4" s="1"/>
      <c r="F4" s="65" t="s">
        <v>7</v>
      </c>
      <c r="G4" s="15" t="s">
        <v>75</v>
      </c>
      <c r="H4" s="63"/>
      <c r="I4" s="60" t="s">
        <v>8</v>
      </c>
      <c r="J4" s="61"/>
      <c r="K4" s="62"/>
      <c r="L4" s="60" t="s">
        <v>9</v>
      </c>
      <c r="O4" s="49">
        <v>0</v>
      </c>
      <c r="P4" s="127" t="s">
        <v>10</v>
      </c>
      <c r="Q4" s="128"/>
      <c r="R4" s="20"/>
      <c r="T4" s="1"/>
      <c r="W4" s="3"/>
      <c r="X4" s="3"/>
      <c r="Y4" s="4"/>
      <c r="Z4" s="4"/>
      <c r="AA4" s="4"/>
      <c r="AB4" s="4"/>
      <c r="AC4" s="4"/>
    </row>
    <row r="5" spans="1:29" s="5" customFormat="1" ht="12.75" customHeight="1" x14ac:dyDescent="0.2">
      <c r="A5" s="21"/>
      <c r="B5" s="22"/>
      <c r="C5" s="23"/>
      <c r="D5" s="23"/>
      <c r="E5" s="23"/>
      <c r="F5" s="65" t="s">
        <v>11</v>
      </c>
      <c r="G5" s="74" t="s">
        <v>75</v>
      </c>
      <c r="H5" s="65" t="s">
        <v>12</v>
      </c>
      <c r="I5" s="58">
        <f>COUNTA(O:O)-5</f>
        <v>0</v>
      </c>
      <c r="J5" s="55"/>
      <c r="K5" s="65" t="s">
        <v>13</v>
      </c>
      <c r="L5" s="58">
        <f>COUNTA(O:O)-5</f>
        <v>0</v>
      </c>
      <c r="O5" s="49">
        <v>1</v>
      </c>
      <c r="P5" s="127" t="s">
        <v>14</v>
      </c>
      <c r="Q5" s="128"/>
      <c r="R5" s="24"/>
    </row>
    <row r="6" spans="1:29" s="5" customFormat="1" ht="12.75" customHeight="1" x14ac:dyDescent="0.2">
      <c r="A6" s="21"/>
      <c r="B6" s="22"/>
      <c r="C6" s="23"/>
      <c r="D6" s="23"/>
      <c r="E6" s="23"/>
      <c r="F6" s="65" t="s">
        <v>15</v>
      </c>
      <c r="G6" s="15" t="s">
        <v>78</v>
      </c>
      <c r="H6" s="65" t="s">
        <v>16</v>
      </c>
      <c r="I6" s="59">
        <f>((COUNTIF(O12:O58,2))+(COUNTIF(O12:O58,1)))</f>
        <v>0</v>
      </c>
      <c r="J6" s="56"/>
      <c r="K6" s="65" t="s">
        <v>17</v>
      </c>
      <c r="L6" s="59">
        <f>((COUNTIF(P35:P58,2))+(COUNTIF(P35:P58,1)))</f>
        <v>0</v>
      </c>
      <c r="O6" s="49">
        <v>2</v>
      </c>
      <c r="P6" s="127" t="s">
        <v>18</v>
      </c>
      <c r="Q6" s="128"/>
      <c r="R6" s="24"/>
    </row>
    <row r="7" spans="1:29" s="5" customFormat="1" ht="12.75" customHeight="1" x14ac:dyDescent="0.2">
      <c r="A7" s="21"/>
      <c r="B7" s="22"/>
      <c r="C7" s="23"/>
      <c r="D7" s="23"/>
      <c r="E7" s="23"/>
      <c r="F7" s="65" t="s">
        <v>19</v>
      </c>
      <c r="G7" s="15" t="s">
        <v>8</v>
      </c>
      <c r="H7" s="65" t="s">
        <v>20</v>
      </c>
      <c r="I7" s="59">
        <f>((COUNTIF(O35:O58,0)))</f>
        <v>0</v>
      </c>
      <c r="J7" s="56"/>
      <c r="K7" s="65" t="s">
        <v>21</v>
      </c>
      <c r="L7" s="59">
        <f>((COUNTIF(P35:P58,0)))</f>
        <v>0</v>
      </c>
      <c r="M7" s="19"/>
      <c r="N7" s="19"/>
      <c r="O7" s="50"/>
      <c r="P7" s="50"/>
      <c r="Q7" s="50"/>
      <c r="R7" s="24"/>
    </row>
    <row r="8" spans="1:29" s="5" customFormat="1" ht="12.75" customHeight="1" x14ac:dyDescent="0.2">
      <c r="A8" s="21"/>
      <c r="B8" s="22"/>
      <c r="C8" s="23"/>
      <c r="D8" s="23"/>
      <c r="E8" s="23"/>
      <c r="F8" s="23"/>
      <c r="G8" s="14"/>
      <c r="H8" s="19"/>
      <c r="I8" s="50"/>
      <c r="J8" s="50"/>
      <c r="K8" s="50"/>
      <c r="L8" s="50"/>
      <c r="M8" s="19"/>
      <c r="N8" s="19"/>
      <c r="O8" s="50"/>
      <c r="P8" s="50"/>
      <c r="Q8" s="50"/>
      <c r="R8" s="25"/>
    </row>
    <row r="9" spans="1:29" s="5" customFormat="1" ht="3" customHeight="1" x14ac:dyDescent="0.2">
      <c r="A9" s="21"/>
      <c r="B9" s="26"/>
      <c r="C9" s="27"/>
      <c r="D9" s="27"/>
      <c r="E9" s="27"/>
      <c r="F9" s="27"/>
      <c r="G9" s="28"/>
      <c r="H9" s="28"/>
      <c r="I9" s="29"/>
      <c r="J9" s="29"/>
      <c r="K9" s="29"/>
      <c r="L9" s="29"/>
      <c r="M9" s="29"/>
      <c r="N9" s="29"/>
      <c r="O9" s="27"/>
      <c r="P9" s="27"/>
      <c r="Q9" s="28"/>
      <c r="R9" s="30"/>
    </row>
    <row r="10" spans="1:29" s="5" customFormat="1" ht="4.5" customHeight="1" thickBot="1" x14ac:dyDescent="0.25">
      <c r="A10" s="1"/>
      <c r="C10" s="31"/>
      <c r="D10" s="31"/>
      <c r="E10" s="31"/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2"/>
      <c r="R10" s="1"/>
      <c r="S10" s="1"/>
      <c r="T10" s="1"/>
      <c r="U10" s="1"/>
      <c r="V10" s="1"/>
      <c r="W10" s="3"/>
      <c r="X10" s="3"/>
      <c r="Y10" s="4"/>
      <c r="Z10" s="4"/>
      <c r="AA10" s="4"/>
      <c r="AB10" s="4"/>
      <c r="AC10" s="4"/>
    </row>
    <row r="11" spans="1:29" s="5" customFormat="1" ht="15" customHeight="1" thickTop="1" thickBot="1" x14ac:dyDescent="0.25">
      <c r="A11" s="1"/>
      <c r="B11" s="32" t="s">
        <v>22</v>
      </c>
      <c r="C11" s="32" t="s">
        <v>23</v>
      </c>
      <c r="D11" s="32" t="s">
        <v>24</v>
      </c>
      <c r="E11" s="32" t="s">
        <v>25</v>
      </c>
      <c r="F11" s="32" t="s">
        <v>26</v>
      </c>
      <c r="G11" s="32" t="s">
        <v>27</v>
      </c>
      <c r="H11" s="78" t="s">
        <v>28</v>
      </c>
      <c r="I11" s="132" t="s">
        <v>29</v>
      </c>
      <c r="J11" s="134"/>
      <c r="K11" s="134"/>
      <c r="L11" s="134"/>
      <c r="M11" s="133"/>
      <c r="N11" s="96" t="s">
        <v>105</v>
      </c>
      <c r="O11" s="32" t="s">
        <v>8</v>
      </c>
      <c r="P11" s="78" t="s">
        <v>9</v>
      </c>
      <c r="Q11" s="132" t="s">
        <v>30</v>
      </c>
      <c r="R11" s="133"/>
      <c r="T11" s="33"/>
      <c r="U11" s="4"/>
      <c r="V11" s="34"/>
      <c r="W11" s="16"/>
    </row>
    <row r="12" spans="1:29" s="87" customFormat="1" ht="54.75" customHeight="1" thickBot="1" x14ac:dyDescent="0.25">
      <c r="A12" s="83"/>
      <c r="B12" s="84">
        <v>1</v>
      </c>
      <c r="C12" s="85" t="s">
        <v>76</v>
      </c>
      <c r="D12" s="85" t="s">
        <v>32</v>
      </c>
      <c r="E12" s="85" t="s">
        <v>77</v>
      </c>
      <c r="F12" s="84" t="s">
        <v>34</v>
      </c>
      <c r="G12" s="88" t="s">
        <v>80</v>
      </c>
      <c r="H12" s="89" t="s">
        <v>99</v>
      </c>
      <c r="I12" s="129" t="s">
        <v>86</v>
      </c>
      <c r="J12" s="130"/>
      <c r="K12" s="130"/>
      <c r="L12" s="130"/>
      <c r="M12" s="131"/>
      <c r="N12" s="142">
        <v>1</v>
      </c>
      <c r="O12" s="80"/>
      <c r="P12" s="81"/>
      <c r="Q12" s="114"/>
      <c r="R12" s="115"/>
    </row>
    <row r="13" spans="1:29" s="87" customFormat="1" ht="54.75" customHeight="1" thickBot="1" x14ac:dyDescent="0.25">
      <c r="A13" s="83"/>
      <c r="B13" s="84">
        <v>2</v>
      </c>
      <c r="C13" s="85" t="s">
        <v>76</v>
      </c>
      <c r="D13" s="85" t="s">
        <v>32</v>
      </c>
      <c r="E13" s="85" t="s">
        <v>77</v>
      </c>
      <c r="F13" s="84" t="s">
        <v>34</v>
      </c>
      <c r="G13" s="98" t="s">
        <v>100</v>
      </c>
      <c r="H13" s="99" t="s">
        <v>107</v>
      </c>
      <c r="I13" s="120" t="s">
        <v>103</v>
      </c>
      <c r="J13" s="120"/>
      <c r="K13" s="120"/>
      <c r="L13" s="100"/>
      <c r="M13" s="100"/>
      <c r="N13" s="142">
        <v>2</v>
      </c>
      <c r="O13" s="80"/>
      <c r="P13" s="81"/>
      <c r="Q13" s="92"/>
      <c r="R13" s="93"/>
    </row>
    <row r="14" spans="1:29" s="87" customFormat="1" ht="54.75" customHeight="1" thickBot="1" x14ac:dyDescent="0.25">
      <c r="A14" s="83"/>
      <c r="B14" s="84">
        <v>3</v>
      </c>
      <c r="C14" s="85" t="s">
        <v>76</v>
      </c>
      <c r="D14" s="85" t="s">
        <v>32</v>
      </c>
      <c r="E14" s="85" t="s">
        <v>77</v>
      </c>
      <c r="F14" s="84" t="s">
        <v>34</v>
      </c>
      <c r="G14" s="98" t="s">
        <v>101</v>
      </c>
      <c r="H14" s="99" t="s">
        <v>102</v>
      </c>
      <c r="I14" s="120" t="s">
        <v>104</v>
      </c>
      <c r="J14" s="120"/>
      <c r="K14" s="120"/>
      <c r="L14" s="120"/>
      <c r="M14" s="141"/>
      <c r="N14" s="143">
        <v>3</v>
      </c>
      <c r="O14" s="80"/>
      <c r="P14" s="81"/>
      <c r="Q14" s="92"/>
      <c r="R14" s="93"/>
    </row>
    <row r="15" spans="1:29" s="87" customFormat="1" ht="54.75" customHeight="1" thickBot="1" x14ac:dyDescent="0.25">
      <c r="A15" s="83"/>
      <c r="B15" s="84">
        <v>4</v>
      </c>
      <c r="C15" s="85" t="s">
        <v>76</v>
      </c>
      <c r="D15" s="85" t="s">
        <v>32</v>
      </c>
      <c r="E15" s="85" t="s">
        <v>77</v>
      </c>
      <c r="F15" s="84" t="s">
        <v>34</v>
      </c>
      <c r="G15" s="87" t="s">
        <v>87</v>
      </c>
      <c r="H15" s="87" t="s">
        <v>98</v>
      </c>
      <c r="I15" s="135" t="s">
        <v>88</v>
      </c>
      <c r="J15" s="135"/>
      <c r="K15" s="135"/>
      <c r="L15" s="135"/>
      <c r="M15" s="136"/>
      <c r="N15" s="144">
        <v>4</v>
      </c>
      <c r="O15" s="80"/>
      <c r="P15" s="81"/>
      <c r="Q15" s="114"/>
      <c r="R15" s="115"/>
    </row>
    <row r="16" spans="1:29" s="87" customFormat="1" ht="54.75" customHeight="1" x14ac:dyDescent="0.2">
      <c r="A16" s="83"/>
      <c r="B16" s="84">
        <v>5</v>
      </c>
      <c r="C16" s="85" t="s">
        <v>76</v>
      </c>
      <c r="D16" s="85" t="s">
        <v>32</v>
      </c>
      <c r="E16" s="85" t="s">
        <v>77</v>
      </c>
      <c r="F16" s="84" t="s">
        <v>34</v>
      </c>
      <c r="G16" s="87" t="s">
        <v>89</v>
      </c>
      <c r="H16" s="87" t="s">
        <v>97</v>
      </c>
      <c r="I16" s="135" t="s">
        <v>88</v>
      </c>
      <c r="J16" s="135"/>
      <c r="K16" s="135"/>
      <c r="L16" s="135"/>
      <c r="M16" s="136"/>
      <c r="N16" s="144">
        <v>5</v>
      </c>
      <c r="O16" s="80"/>
      <c r="P16" s="81"/>
      <c r="Q16" s="114"/>
      <c r="R16" s="115"/>
    </row>
    <row r="17" spans="1:29" s="87" customFormat="1" ht="54.75" customHeight="1" thickBot="1" x14ac:dyDescent="0.25">
      <c r="A17" s="83"/>
      <c r="B17" s="84">
        <v>6</v>
      </c>
      <c r="C17" s="85" t="s">
        <v>76</v>
      </c>
      <c r="D17" s="85" t="s">
        <v>32</v>
      </c>
      <c r="E17" s="85" t="s">
        <v>77</v>
      </c>
      <c r="F17" s="84" t="s">
        <v>34</v>
      </c>
      <c r="G17" s="87" t="s">
        <v>90</v>
      </c>
      <c r="H17" s="87" t="s">
        <v>96</v>
      </c>
      <c r="I17" s="137" t="s">
        <v>91</v>
      </c>
      <c r="J17" s="137"/>
      <c r="K17" s="137"/>
      <c r="L17" s="137"/>
      <c r="M17" s="138"/>
      <c r="N17" s="145">
        <v>6</v>
      </c>
      <c r="O17" s="80"/>
      <c r="P17" s="81"/>
      <c r="Q17" s="114"/>
      <c r="R17" s="115"/>
    </row>
    <row r="18" spans="1:29" s="73" customFormat="1" ht="33" customHeight="1" thickBot="1" x14ac:dyDescent="0.25">
      <c r="A18" s="83"/>
      <c r="B18" s="84">
        <v>7</v>
      </c>
      <c r="C18" s="85" t="s">
        <v>76</v>
      </c>
      <c r="D18" s="85" t="s">
        <v>32</v>
      </c>
      <c r="E18" s="85" t="s">
        <v>77</v>
      </c>
      <c r="F18" s="84" t="s">
        <v>34</v>
      </c>
      <c r="G18" s="90" t="s">
        <v>81</v>
      </c>
      <c r="H18" s="91" t="s">
        <v>95</v>
      </c>
      <c r="I18" s="129" t="s">
        <v>82</v>
      </c>
      <c r="J18" s="130"/>
      <c r="K18" s="130"/>
      <c r="L18" s="130"/>
      <c r="M18" s="131"/>
      <c r="N18" s="142">
        <v>7</v>
      </c>
      <c r="O18" s="80"/>
      <c r="P18" s="81"/>
      <c r="Q18" s="114"/>
      <c r="R18" s="115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</row>
    <row r="19" spans="1:29" s="87" customFormat="1" ht="33" customHeight="1" thickBot="1" x14ac:dyDescent="0.25">
      <c r="A19" s="83"/>
      <c r="B19" s="84">
        <v>8</v>
      </c>
      <c r="C19" s="85" t="s">
        <v>76</v>
      </c>
      <c r="D19" s="85" t="s">
        <v>32</v>
      </c>
      <c r="E19" s="85" t="s">
        <v>77</v>
      </c>
      <c r="F19" s="84" t="s">
        <v>34</v>
      </c>
      <c r="G19" s="90" t="s">
        <v>83</v>
      </c>
      <c r="H19" s="91" t="s">
        <v>94</v>
      </c>
      <c r="I19" s="119" t="s">
        <v>93</v>
      </c>
      <c r="J19" s="120"/>
      <c r="K19" s="120"/>
      <c r="L19" s="120"/>
      <c r="M19" s="121"/>
      <c r="N19" s="142">
        <v>8</v>
      </c>
      <c r="O19" s="80"/>
      <c r="P19" s="81"/>
      <c r="Q19" s="114"/>
      <c r="R19" s="115"/>
    </row>
    <row r="20" spans="1:29" s="87" customFormat="1" ht="33" customHeight="1" thickBot="1" x14ac:dyDescent="0.25">
      <c r="A20" s="83"/>
      <c r="B20" s="84">
        <v>9</v>
      </c>
      <c r="C20" s="85" t="s">
        <v>76</v>
      </c>
      <c r="D20" s="85" t="s">
        <v>32</v>
      </c>
      <c r="E20" s="85" t="s">
        <v>77</v>
      </c>
      <c r="F20" s="84" t="s">
        <v>34</v>
      </c>
      <c r="G20" s="90" t="s">
        <v>84</v>
      </c>
      <c r="H20" s="91" t="s">
        <v>92</v>
      </c>
      <c r="I20" s="129" t="s">
        <v>85</v>
      </c>
      <c r="J20" s="130"/>
      <c r="K20" s="130"/>
      <c r="L20" s="130"/>
      <c r="M20" s="131"/>
      <c r="N20" s="142">
        <v>9</v>
      </c>
      <c r="O20" s="80"/>
      <c r="P20" s="81"/>
      <c r="Q20" s="114"/>
      <c r="R20" s="115"/>
    </row>
    <row r="21" spans="1:29" s="87" customFormat="1" ht="33" customHeight="1" x14ac:dyDescent="0.2">
      <c r="A21" s="83"/>
      <c r="B21" s="84"/>
      <c r="C21" s="85"/>
      <c r="D21" s="85"/>
      <c r="E21" s="85"/>
      <c r="F21" s="84"/>
      <c r="G21" s="86"/>
      <c r="H21" s="82"/>
      <c r="I21" s="116"/>
      <c r="J21" s="117"/>
      <c r="K21" s="117"/>
      <c r="L21" s="117"/>
      <c r="M21" s="118"/>
      <c r="N21" s="94"/>
      <c r="O21" s="80"/>
      <c r="P21" s="81"/>
      <c r="Q21" s="114"/>
      <c r="R21" s="115"/>
    </row>
    <row r="22" spans="1:29" s="73" customFormat="1" ht="33" customHeight="1" x14ac:dyDescent="0.2">
      <c r="A22" s="67"/>
      <c r="B22" s="68"/>
      <c r="C22" s="69"/>
      <c r="D22" s="69"/>
      <c r="E22" s="69"/>
      <c r="F22" s="68"/>
      <c r="G22" s="42"/>
      <c r="H22" s="66"/>
      <c r="I22" s="122"/>
      <c r="J22" s="123"/>
      <c r="K22" s="123"/>
      <c r="L22" s="123"/>
      <c r="M22" s="124"/>
      <c r="N22" s="95"/>
      <c r="O22" s="49"/>
      <c r="P22" s="53"/>
      <c r="Q22" s="114"/>
      <c r="R22" s="115"/>
    </row>
    <row r="23" spans="1:29" s="73" customFormat="1" ht="33" customHeight="1" x14ac:dyDescent="0.2">
      <c r="A23" s="67"/>
      <c r="B23" s="68"/>
      <c r="C23" s="69"/>
      <c r="D23" s="69"/>
      <c r="E23" s="69"/>
      <c r="F23" s="68"/>
      <c r="G23" s="42"/>
      <c r="H23" s="66"/>
      <c r="I23" s="122"/>
      <c r="J23" s="123"/>
      <c r="K23" s="123"/>
      <c r="L23" s="123"/>
      <c r="M23" s="124"/>
      <c r="N23" s="95"/>
      <c r="O23" s="49"/>
      <c r="P23" s="53"/>
      <c r="Q23" s="114"/>
      <c r="R23" s="115"/>
    </row>
    <row r="24" spans="1:29" s="73" customFormat="1" ht="33" customHeight="1" x14ac:dyDescent="0.2">
      <c r="A24" s="67"/>
      <c r="B24" s="68"/>
      <c r="C24" s="69"/>
      <c r="D24" s="69"/>
      <c r="E24" s="69"/>
      <c r="F24" s="68"/>
      <c r="G24" s="70"/>
      <c r="H24" s="79"/>
      <c r="I24" s="75"/>
      <c r="J24" s="76"/>
      <c r="K24" s="76"/>
      <c r="L24" s="76"/>
      <c r="M24" s="77"/>
      <c r="N24" s="95"/>
      <c r="O24" s="49"/>
      <c r="P24" s="53"/>
      <c r="Q24" s="71"/>
      <c r="R24" s="72"/>
    </row>
    <row r="25" spans="1:29" s="73" customFormat="1" ht="33" customHeight="1" x14ac:dyDescent="0.2">
      <c r="A25" s="67"/>
      <c r="B25" s="68"/>
      <c r="C25" s="69"/>
      <c r="D25" s="69"/>
      <c r="E25" s="69"/>
      <c r="F25" s="68"/>
      <c r="G25" s="70"/>
      <c r="H25" s="82"/>
      <c r="I25" s="75"/>
      <c r="J25" s="76"/>
      <c r="K25" s="76"/>
      <c r="L25" s="76"/>
      <c r="M25" s="77"/>
      <c r="N25" s="95"/>
      <c r="O25" s="49"/>
      <c r="P25" s="53"/>
      <c r="Q25" s="71"/>
      <c r="R25" s="72"/>
    </row>
    <row r="26" spans="1:29" s="73" customFormat="1" ht="33" customHeight="1" x14ac:dyDescent="0.2">
      <c r="A26" s="67"/>
      <c r="B26" s="68"/>
      <c r="C26" s="69"/>
      <c r="D26" s="69"/>
      <c r="E26" s="69"/>
      <c r="F26" s="68"/>
      <c r="G26" s="70"/>
      <c r="H26" s="82"/>
      <c r="I26" s="122"/>
      <c r="J26" s="123"/>
      <c r="K26" s="123"/>
      <c r="L26" s="123"/>
      <c r="M26" s="124"/>
      <c r="N26" s="95"/>
      <c r="O26" s="49"/>
      <c r="P26" s="53"/>
      <c r="Q26" s="71"/>
      <c r="R26" s="72"/>
    </row>
    <row r="27" spans="1:29" s="73" customFormat="1" ht="33" customHeight="1" x14ac:dyDescent="0.2">
      <c r="A27" s="67"/>
      <c r="B27" s="68"/>
      <c r="C27" s="69"/>
      <c r="D27" s="69"/>
      <c r="E27" s="69"/>
      <c r="F27" s="68"/>
      <c r="G27" s="70"/>
      <c r="H27" s="82"/>
      <c r="I27" s="122"/>
      <c r="J27" s="123"/>
      <c r="K27" s="123"/>
      <c r="L27" s="123"/>
      <c r="M27" s="124"/>
      <c r="N27" s="95"/>
      <c r="O27" s="49"/>
      <c r="P27" s="53"/>
      <c r="Q27" s="71"/>
      <c r="R27" s="72"/>
    </row>
    <row r="28" spans="1:29" s="73" customFormat="1" ht="33" customHeight="1" x14ac:dyDescent="0.2">
      <c r="A28" s="67"/>
      <c r="B28" s="68"/>
      <c r="C28" s="69"/>
      <c r="D28" s="69"/>
      <c r="E28" s="69"/>
      <c r="F28" s="68"/>
      <c r="G28" s="70"/>
      <c r="H28" s="66"/>
      <c r="I28" s="122"/>
      <c r="J28" s="123"/>
      <c r="K28" s="123"/>
      <c r="L28" s="123"/>
      <c r="M28" s="124"/>
      <c r="N28" s="95"/>
      <c r="O28" s="49"/>
      <c r="P28" s="53"/>
      <c r="Q28" s="71"/>
      <c r="R28" s="72"/>
    </row>
    <row r="29" spans="1:29" s="73" customFormat="1" ht="33" customHeight="1" x14ac:dyDescent="0.2">
      <c r="A29" s="67"/>
      <c r="B29" s="68"/>
      <c r="C29" s="69"/>
      <c r="D29" s="69"/>
      <c r="E29" s="69"/>
      <c r="F29" s="68"/>
      <c r="G29" s="70"/>
      <c r="H29" s="66"/>
      <c r="I29" s="122"/>
      <c r="J29" s="123"/>
      <c r="K29" s="123"/>
      <c r="L29" s="123"/>
      <c r="M29" s="124"/>
      <c r="N29" s="95"/>
      <c r="O29" s="49"/>
      <c r="P29" s="53"/>
      <c r="Q29" s="139"/>
      <c r="R29" s="140"/>
    </row>
    <row r="30" spans="1:29" s="73" customFormat="1" ht="33" customHeight="1" x14ac:dyDescent="0.2">
      <c r="A30" s="67"/>
      <c r="B30" s="68"/>
      <c r="C30" s="69"/>
      <c r="D30" s="69"/>
      <c r="E30" s="69"/>
      <c r="F30" s="68"/>
      <c r="G30" s="70"/>
      <c r="H30" s="66"/>
      <c r="I30" s="122"/>
      <c r="J30" s="123"/>
      <c r="K30" s="123"/>
      <c r="L30" s="123"/>
      <c r="M30" s="124"/>
      <c r="N30" s="95"/>
      <c r="O30" s="49"/>
      <c r="P30" s="53"/>
      <c r="Q30" s="71"/>
      <c r="R30" s="72"/>
    </row>
    <row r="31" spans="1:29" s="73" customFormat="1" ht="33" customHeight="1" x14ac:dyDescent="0.2">
      <c r="A31" s="67"/>
      <c r="B31" s="68"/>
      <c r="C31" s="69"/>
      <c r="D31" s="69"/>
      <c r="E31" s="69"/>
      <c r="F31" s="68"/>
      <c r="G31" s="70"/>
      <c r="H31" s="66"/>
      <c r="I31" s="122"/>
      <c r="J31" s="123"/>
      <c r="K31" s="123"/>
      <c r="L31" s="123"/>
      <c r="M31" s="124"/>
      <c r="N31" s="95"/>
      <c r="O31" s="49"/>
      <c r="P31" s="53"/>
      <c r="Q31" s="71"/>
      <c r="R31" s="72"/>
    </row>
    <row r="32" spans="1:29" s="73" customFormat="1" ht="33" customHeight="1" x14ac:dyDescent="0.2">
      <c r="A32" s="67"/>
      <c r="B32" s="68"/>
      <c r="C32" s="69"/>
      <c r="D32" s="69"/>
      <c r="E32" s="69"/>
      <c r="F32" s="68"/>
      <c r="G32" s="70"/>
      <c r="H32" s="66"/>
      <c r="I32" s="122"/>
      <c r="J32" s="123"/>
      <c r="K32" s="123"/>
      <c r="L32" s="123"/>
      <c r="M32" s="124"/>
      <c r="N32" s="95"/>
      <c r="O32" s="49"/>
      <c r="P32" s="53"/>
      <c r="Q32" s="71"/>
      <c r="R32" s="72"/>
    </row>
    <row r="33" spans="1:18" s="73" customFormat="1" ht="33" customHeight="1" x14ac:dyDescent="0.2">
      <c r="A33" s="67"/>
      <c r="B33" s="68"/>
      <c r="C33" s="69"/>
      <c r="D33" s="69"/>
      <c r="E33" s="69"/>
      <c r="F33" s="68"/>
      <c r="G33" s="70"/>
      <c r="H33" s="66"/>
      <c r="I33" s="122"/>
      <c r="J33" s="123"/>
      <c r="K33" s="123"/>
      <c r="L33" s="123"/>
      <c r="M33" s="124"/>
      <c r="N33" s="95"/>
      <c r="O33" s="49"/>
      <c r="P33" s="53"/>
      <c r="Q33" s="71"/>
      <c r="R33" s="72"/>
    </row>
    <row r="34" spans="1:18" s="73" customFormat="1" ht="33" customHeight="1" x14ac:dyDescent="0.2">
      <c r="A34" s="67"/>
      <c r="B34" s="68"/>
      <c r="C34" s="69"/>
      <c r="D34" s="69"/>
      <c r="E34" s="69"/>
      <c r="F34" s="68"/>
      <c r="G34" s="70"/>
      <c r="H34" s="66"/>
      <c r="I34" s="122"/>
      <c r="J34" s="123"/>
      <c r="K34" s="123"/>
      <c r="L34" s="123"/>
      <c r="M34" s="124"/>
      <c r="N34" s="95"/>
      <c r="O34" s="49"/>
      <c r="P34" s="53"/>
      <c r="Q34" s="139"/>
      <c r="R34" s="140"/>
    </row>
    <row r="35" spans="1:18" s="73" customFormat="1" ht="33" customHeight="1" x14ac:dyDescent="0.2">
      <c r="A35" s="67"/>
      <c r="B35" s="68"/>
      <c r="C35" s="69"/>
      <c r="D35" s="69"/>
      <c r="E35" s="69"/>
      <c r="F35" s="68"/>
      <c r="G35" s="42"/>
      <c r="H35" s="66"/>
      <c r="I35" s="122"/>
      <c r="J35" s="123"/>
      <c r="K35" s="123"/>
      <c r="L35" s="123"/>
      <c r="M35" s="124"/>
      <c r="N35" s="95"/>
      <c r="O35" s="49"/>
      <c r="P35" s="53"/>
      <c r="Q35" s="71"/>
      <c r="R35" s="72"/>
    </row>
    <row r="36" spans="1:18" s="73" customFormat="1" ht="33" customHeight="1" x14ac:dyDescent="0.2">
      <c r="A36" s="67"/>
      <c r="B36" s="68"/>
      <c r="C36" s="69"/>
      <c r="D36" s="69"/>
      <c r="E36" s="69"/>
      <c r="F36" s="68"/>
      <c r="G36" s="70"/>
      <c r="H36" s="66"/>
      <c r="I36" s="122"/>
      <c r="J36" s="123"/>
      <c r="K36" s="123"/>
      <c r="L36" s="123"/>
      <c r="M36" s="124"/>
      <c r="N36" s="95"/>
      <c r="O36" s="49"/>
      <c r="P36" s="53"/>
      <c r="Q36" s="71"/>
      <c r="R36" s="72"/>
    </row>
    <row r="37" spans="1:18" s="73" customFormat="1" ht="33" customHeight="1" x14ac:dyDescent="0.2">
      <c r="A37" s="67"/>
      <c r="B37" s="68"/>
      <c r="C37" s="69"/>
      <c r="D37" s="69"/>
      <c r="E37" s="69"/>
      <c r="F37" s="68"/>
      <c r="G37" s="70"/>
      <c r="H37" s="66"/>
      <c r="I37" s="122"/>
      <c r="J37" s="123"/>
      <c r="K37" s="123"/>
      <c r="L37" s="123"/>
      <c r="M37" s="124"/>
      <c r="N37" s="95"/>
      <c r="O37" s="49"/>
      <c r="P37" s="53"/>
      <c r="Q37" s="114"/>
      <c r="R37" s="115"/>
    </row>
    <row r="38" spans="1:18" s="73" customFormat="1" ht="33" customHeight="1" x14ac:dyDescent="0.2">
      <c r="A38" s="67"/>
      <c r="B38" s="68"/>
      <c r="C38" s="69"/>
      <c r="D38" s="69"/>
      <c r="E38" s="69"/>
      <c r="F38" s="68"/>
      <c r="G38" s="70"/>
      <c r="H38" s="66"/>
      <c r="I38" s="116"/>
      <c r="J38" s="117"/>
      <c r="K38" s="117"/>
      <c r="L38" s="117"/>
      <c r="M38" s="118"/>
      <c r="N38" s="94"/>
      <c r="O38" s="49"/>
      <c r="P38" s="53"/>
      <c r="Q38" s="114"/>
      <c r="R38" s="115"/>
    </row>
    <row r="39" spans="1:18" s="73" customFormat="1" ht="33" customHeight="1" x14ac:dyDescent="0.2">
      <c r="A39" s="67"/>
      <c r="B39" s="68"/>
      <c r="C39" s="69"/>
      <c r="D39" s="69"/>
      <c r="E39" s="69"/>
      <c r="F39" s="68"/>
      <c r="G39" s="70"/>
      <c r="H39" s="66"/>
      <c r="I39" s="116"/>
      <c r="J39" s="117"/>
      <c r="K39" s="117"/>
      <c r="L39" s="117"/>
      <c r="M39" s="118"/>
      <c r="N39" s="94"/>
      <c r="O39" s="49"/>
      <c r="P39" s="53"/>
      <c r="Q39" s="71"/>
      <c r="R39" s="72"/>
    </row>
    <row r="40" spans="1:18" s="73" customFormat="1" ht="33" customHeight="1" x14ac:dyDescent="0.2">
      <c r="A40" s="67"/>
      <c r="B40" s="68"/>
      <c r="C40" s="69"/>
      <c r="D40" s="69"/>
      <c r="E40" s="69"/>
      <c r="F40" s="68"/>
      <c r="G40" s="70"/>
      <c r="H40" s="66"/>
      <c r="I40" s="116"/>
      <c r="J40" s="117"/>
      <c r="K40" s="117"/>
      <c r="L40" s="117"/>
      <c r="M40" s="118"/>
      <c r="N40" s="94"/>
      <c r="O40" s="49"/>
      <c r="P40" s="53"/>
      <c r="Q40" s="71"/>
      <c r="R40" s="72"/>
    </row>
    <row r="41" spans="1:18" s="73" customFormat="1" ht="33" customHeight="1" x14ac:dyDescent="0.2">
      <c r="A41" s="67"/>
      <c r="B41" s="68"/>
      <c r="C41" s="69"/>
      <c r="D41" s="69"/>
      <c r="E41" s="69"/>
      <c r="F41" s="68"/>
      <c r="G41" s="70"/>
      <c r="H41" s="66"/>
      <c r="I41" s="116"/>
      <c r="J41" s="117"/>
      <c r="K41" s="117"/>
      <c r="L41" s="117"/>
      <c r="M41" s="118"/>
      <c r="N41" s="94"/>
      <c r="O41" s="49"/>
      <c r="P41" s="53"/>
      <c r="Q41" s="71"/>
      <c r="R41" s="72"/>
    </row>
    <row r="42" spans="1:18" s="73" customFormat="1" ht="33" customHeight="1" x14ac:dyDescent="0.2">
      <c r="A42" s="67"/>
      <c r="B42" s="68"/>
      <c r="C42" s="69"/>
      <c r="D42" s="69"/>
      <c r="E42" s="69"/>
      <c r="F42" s="68"/>
      <c r="G42" s="70"/>
      <c r="H42" s="66"/>
      <c r="I42" s="116"/>
      <c r="J42" s="117"/>
      <c r="K42" s="117"/>
      <c r="L42" s="117"/>
      <c r="M42" s="118"/>
      <c r="N42" s="94"/>
      <c r="O42" s="49"/>
      <c r="P42" s="53"/>
      <c r="Q42" s="71"/>
      <c r="R42" s="72"/>
    </row>
    <row r="43" spans="1:18" s="73" customFormat="1" ht="33" customHeight="1" x14ac:dyDescent="0.2">
      <c r="A43" s="67"/>
      <c r="B43" s="68"/>
      <c r="C43" s="69"/>
      <c r="D43" s="69"/>
      <c r="E43" s="69"/>
      <c r="F43" s="68"/>
      <c r="G43" s="70"/>
      <c r="H43" s="66"/>
      <c r="I43" s="116"/>
      <c r="J43" s="117"/>
      <c r="K43" s="117"/>
      <c r="L43" s="117"/>
      <c r="M43" s="118"/>
      <c r="N43" s="94"/>
      <c r="O43" s="49"/>
      <c r="P43" s="53"/>
      <c r="Q43" s="71"/>
      <c r="R43" s="72"/>
    </row>
    <row r="44" spans="1:18" s="73" customFormat="1" ht="33" customHeight="1" x14ac:dyDescent="0.2">
      <c r="A44" s="67"/>
      <c r="B44" s="68"/>
      <c r="C44" s="69"/>
      <c r="D44" s="69"/>
      <c r="E44" s="69"/>
      <c r="F44" s="68"/>
      <c r="G44" s="70"/>
      <c r="H44" s="66"/>
      <c r="I44" s="116"/>
      <c r="J44" s="117"/>
      <c r="K44" s="117"/>
      <c r="L44" s="117"/>
      <c r="M44" s="118"/>
      <c r="N44" s="94"/>
      <c r="O44" s="49"/>
      <c r="P44" s="53"/>
      <c r="Q44" s="71"/>
      <c r="R44" s="72"/>
    </row>
    <row r="45" spans="1:18" s="73" customFormat="1" ht="33" customHeight="1" x14ac:dyDescent="0.2">
      <c r="A45" s="67"/>
      <c r="B45" s="68"/>
      <c r="C45" s="69"/>
      <c r="D45" s="69"/>
      <c r="E45" s="69"/>
      <c r="F45" s="68"/>
      <c r="G45" s="70"/>
      <c r="H45" s="66"/>
      <c r="I45" s="116"/>
      <c r="J45" s="117"/>
      <c r="K45" s="117"/>
      <c r="L45" s="117"/>
      <c r="M45" s="118"/>
      <c r="N45" s="94"/>
      <c r="O45" s="49"/>
      <c r="P45" s="53"/>
      <c r="Q45" s="71"/>
      <c r="R45" s="72"/>
    </row>
    <row r="46" spans="1:18" s="73" customFormat="1" ht="33" customHeight="1" x14ac:dyDescent="0.2">
      <c r="A46" s="67"/>
      <c r="B46" s="68"/>
      <c r="C46" s="69"/>
      <c r="D46" s="69"/>
      <c r="E46" s="69"/>
      <c r="F46" s="68"/>
      <c r="G46" s="70"/>
      <c r="H46" s="66"/>
      <c r="I46" s="116"/>
      <c r="J46" s="117"/>
      <c r="K46" s="117"/>
      <c r="L46" s="117"/>
      <c r="M46" s="118"/>
      <c r="N46" s="94"/>
      <c r="O46" s="49"/>
      <c r="P46" s="53"/>
      <c r="Q46" s="71"/>
      <c r="R46" s="72"/>
    </row>
    <row r="47" spans="1:18" s="73" customFormat="1" ht="33" customHeight="1" x14ac:dyDescent="0.2">
      <c r="A47" s="67"/>
      <c r="B47" s="68"/>
      <c r="C47" s="69"/>
      <c r="D47" s="69"/>
      <c r="E47" s="69"/>
      <c r="F47" s="68"/>
      <c r="G47" s="42"/>
      <c r="H47" s="66"/>
      <c r="I47" s="122"/>
      <c r="J47" s="123"/>
      <c r="K47" s="123"/>
      <c r="L47" s="123"/>
      <c r="M47" s="124"/>
      <c r="N47" s="95"/>
      <c r="O47" s="49"/>
      <c r="P47" s="53"/>
      <c r="Q47" s="114"/>
      <c r="R47" s="115"/>
    </row>
    <row r="48" spans="1:18" s="73" customFormat="1" ht="33" customHeight="1" x14ac:dyDescent="0.2">
      <c r="A48" s="67"/>
      <c r="B48" s="68"/>
      <c r="C48" s="69"/>
      <c r="D48" s="69"/>
      <c r="E48" s="69"/>
      <c r="F48" s="68"/>
      <c r="G48" s="42"/>
      <c r="H48" s="66"/>
      <c r="I48" s="122"/>
      <c r="J48" s="123"/>
      <c r="K48" s="123"/>
      <c r="L48" s="123"/>
      <c r="M48" s="124"/>
      <c r="N48" s="95"/>
      <c r="O48" s="49"/>
      <c r="P48" s="53"/>
      <c r="Q48" s="114"/>
      <c r="R48" s="115"/>
    </row>
    <row r="49" spans="1:18" s="73" customFormat="1" ht="33" customHeight="1" x14ac:dyDescent="0.2">
      <c r="A49" s="67"/>
      <c r="B49" s="68"/>
      <c r="C49" s="69"/>
      <c r="D49" s="69"/>
      <c r="E49" s="69"/>
      <c r="F49" s="68"/>
      <c r="G49" s="70"/>
      <c r="H49" s="43"/>
      <c r="I49" s="116"/>
      <c r="J49" s="117"/>
      <c r="K49" s="117"/>
      <c r="L49" s="117"/>
      <c r="M49" s="118"/>
      <c r="N49" s="94"/>
      <c r="O49" s="49"/>
      <c r="P49" s="53"/>
      <c r="Q49" s="71"/>
      <c r="R49" s="72"/>
    </row>
    <row r="50" spans="1:18" s="73" customFormat="1" ht="33" customHeight="1" x14ac:dyDescent="0.2">
      <c r="A50" s="67"/>
      <c r="B50" s="68"/>
      <c r="C50" s="69"/>
      <c r="D50" s="69"/>
      <c r="E50" s="69"/>
      <c r="F50" s="68"/>
      <c r="G50" s="70"/>
      <c r="H50" s="66"/>
      <c r="I50" s="116"/>
      <c r="J50" s="117"/>
      <c r="K50" s="117"/>
      <c r="L50" s="117"/>
      <c r="M50" s="118"/>
      <c r="N50" s="94"/>
      <c r="O50" s="49"/>
      <c r="P50" s="53"/>
      <c r="Q50" s="71"/>
      <c r="R50" s="72"/>
    </row>
    <row r="51" spans="1:18" s="73" customFormat="1" ht="33" customHeight="1" x14ac:dyDescent="0.2">
      <c r="A51" s="67"/>
      <c r="B51" s="68"/>
      <c r="C51" s="69"/>
      <c r="D51" s="69"/>
      <c r="E51" s="69"/>
      <c r="F51" s="68"/>
      <c r="G51" s="70"/>
      <c r="H51" s="66"/>
      <c r="I51" s="122"/>
      <c r="J51" s="123"/>
      <c r="K51" s="123"/>
      <c r="L51" s="123"/>
      <c r="M51" s="124"/>
      <c r="N51" s="95"/>
      <c r="O51" s="49"/>
      <c r="P51" s="53"/>
      <c r="Q51" s="71"/>
      <c r="R51" s="72"/>
    </row>
    <row r="52" spans="1:18" s="73" customFormat="1" ht="33" customHeight="1" x14ac:dyDescent="0.2">
      <c r="A52" s="67"/>
      <c r="B52" s="68"/>
      <c r="C52" s="69"/>
      <c r="D52" s="69"/>
      <c r="E52" s="69"/>
      <c r="F52" s="68"/>
      <c r="G52" s="70"/>
      <c r="H52" s="66"/>
      <c r="I52" s="122"/>
      <c r="J52" s="123"/>
      <c r="K52" s="123"/>
      <c r="L52" s="123"/>
      <c r="M52" s="124"/>
      <c r="N52" s="95"/>
      <c r="O52" s="49"/>
      <c r="P52" s="53"/>
      <c r="Q52" s="71"/>
      <c r="R52" s="72"/>
    </row>
    <row r="53" spans="1:18" s="73" customFormat="1" ht="33" customHeight="1" x14ac:dyDescent="0.2">
      <c r="A53" s="67"/>
      <c r="B53" s="68"/>
      <c r="C53" s="69"/>
      <c r="D53" s="69"/>
      <c r="E53" s="69"/>
      <c r="F53" s="68"/>
      <c r="G53" s="70"/>
      <c r="H53" s="66"/>
      <c r="I53" s="122"/>
      <c r="J53" s="123"/>
      <c r="K53" s="123"/>
      <c r="L53" s="123"/>
      <c r="M53" s="124"/>
      <c r="N53" s="95"/>
      <c r="O53" s="49"/>
      <c r="P53" s="53"/>
      <c r="Q53" s="71"/>
      <c r="R53" s="72"/>
    </row>
    <row r="54" spans="1:18" s="73" customFormat="1" ht="33" customHeight="1" x14ac:dyDescent="0.2">
      <c r="A54" s="67"/>
      <c r="B54" s="68"/>
      <c r="C54" s="69"/>
      <c r="D54" s="69"/>
      <c r="E54" s="69"/>
      <c r="F54" s="68"/>
      <c r="G54" s="70"/>
      <c r="H54" s="66"/>
      <c r="I54" s="122"/>
      <c r="J54" s="123"/>
      <c r="K54" s="123"/>
      <c r="L54" s="123"/>
      <c r="M54" s="124"/>
      <c r="N54" s="95"/>
      <c r="O54" s="49"/>
      <c r="P54" s="53"/>
      <c r="Q54" s="139"/>
      <c r="R54" s="140"/>
    </row>
    <row r="55" spans="1:18" s="73" customFormat="1" ht="33" customHeight="1" x14ac:dyDescent="0.2">
      <c r="A55" s="67"/>
      <c r="B55" s="68"/>
      <c r="C55" s="69"/>
      <c r="D55" s="69"/>
      <c r="E55" s="69"/>
      <c r="F55" s="68"/>
      <c r="G55" s="70"/>
      <c r="H55" s="66"/>
      <c r="I55" s="122"/>
      <c r="J55" s="123"/>
      <c r="K55" s="123"/>
      <c r="L55" s="123"/>
      <c r="M55" s="124"/>
      <c r="N55" s="95"/>
      <c r="O55" s="49"/>
      <c r="P55" s="53"/>
      <c r="Q55" s="71"/>
      <c r="R55" s="72"/>
    </row>
    <row r="56" spans="1:18" s="73" customFormat="1" ht="33" customHeight="1" x14ac:dyDescent="0.2">
      <c r="A56" s="67"/>
      <c r="B56" s="68"/>
      <c r="C56" s="69"/>
      <c r="D56" s="69"/>
      <c r="E56" s="69"/>
      <c r="F56" s="68"/>
      <c r="G56" s="70"/>
      <c r="H56" s="66"/>
      <c r="I56" s="122"/>
      <c r="J56" s="123"/>
      <c r="K56" s="123"/>
      <c r="L56" s="123"/>
      <c r="M56" s="124"/>
      <c r="N56" s="95"/>
      <c r="O56" s="49"/>
      <c r="P56" s="53"/>
      <c r="Q56" s="71"/>
      <c r="R56" s="72"/>
    </row>
    <row r="57" spans="1:18" s="73" customFormat="1" ht="33" customHeight="1" x14ac:dyDescent="0.2">
      <c r="A57" s="67"/>
      <c r="B57" s="68"/>
      <c r="C57" s="69"/>
      <c r="D57" s="69"/>
      <c r="E57" s="69"/>
      <c r="F57" s="68"/>
      <c r="G57" s="42"/>
      <c r="H57" s="66"/>
      <c r="I57" s="122"/>
      <c r="J57" s="123"/>
      <c r="K57" s="123"/>
      <c r="L57" s="123"/>
      <c r="M57" s="124"/>
      <c r="N57" s="95"/>
      <c r="O57" s="49"/>
      <c r="P57" s="53"/>
      <c r="Q57" s="71"/>
      <c r="R57" s="72"/>
    </row>
    <row r="58" spans="1:18" s="73" customFormat="1" ht="33" customHeight="1" x14ac:dyDescent="0.2">
      <c r="A58" s="67"/>
      <c r="B58" s="68"/>
      <c r="C58" s="69"/>
      <c r="D58" s="69"/>
      <c r="E58" s="69"/>
      <c r="F58" s="68"/>
      <c r="G58" s="70"/>
      <c r="H58" s="66"/>
      <c r="I58" s="122"/>
      <c r="J58" s="123"/>
      <c r="K58" s="123"/>
      <c r="L58" s="123"/>
      <c r="M58" s="124"/>
      <c r="N58" s="95"/>
      <c r="O58" s="49"/>
      <c r="P58" s="53"/>
      <c r="Q58" s="71"/>
      <c r="R58" s="72"/>
    </row>
    <row r="59" spans="1:18" ht="10.5" hidden="1" customHeight="1" x14ac:dyDescent="0.2">
      <c r="B59" s="68">
        <f t="shared" ref="B59:B71" si="0">B58+1</f>
        <v>1</v>
      </c>
      <c r="C59" s="69" t="s">
        <v>31</v>
      </c>
      <c r="D59" s="69" t="s">
        <v>32</v>
      </c>
      <c r="E59" s="69" t="s">
        <v>33</v>
      </c>
      <c r="F59" s="68" t="s">
        <v>36</v>
      </c>
      <c r="G59" s="70" t="s">
        <v>37</v>
      </c>
      <c r="H59" s="43" t="s">
        <v>38</v>
      </c>
      <c r="I59" s="75" t="s">
        <v>39</v>
      </c>
      <c r="J59" s="76"/>
      <c r="K59" s="76"/>
      <c r="L59" s="76"/>
      <c r="M59" s="77"/>
      <c r="N59" s="95"/>
      <c r="O59" s="49"/>
      <c r="P59" s="53"/>
      <c r="Q59" s="71"/>
      <c r="R59" s="72"/>
    </row>
    <row r="60" spans="1:18" ht="0" hidden="1" customHeight="1" x14ac:dyDescent="0.2">
      <c r="B60" s="68">
        <f t="shared" si="0"/>
        <v>2</v>
      </c>
      <c r="C60" s="69" t="s">
        <v>31</v>
      </c>
      <c r="D60" s="69" t="s">
        <v>32</v>
      </c>
      <c r="E60" s="69" t="s">
        <v>33</v>
      </c>
      <c r="F60" s="68" t="s">
        <v>36</v>
      </c>
      <c r="G60" s="70" t="s">
        <v>40</v>
      </c>
      <c r="H60" s="66" t="s">
        <v>41</v>
      </c>
      <c r="I60" s="75" t="s">
        <v>39</v>
      </c>
      <c r="J60" s="76"/>
      <c r="K60" s="76"/>
      <c r="L60" s="76"/>
      <c r="M60" s="77"/>
      <c r="N60" s="95"/>
      <c r="O60" s="49"/>
      <c r="P60" s="53"/>
      <c r="Q60" s="71"/>
      <c r="R60" s="72"/>
    </row>
    <row r="61" spans="1:18" ht="0" hidden="1" customHeight="1" x14ac:dyDescent="0.2">
      <c r="B61" s="68">
        <f t="shared" si="0"/>
        <v>3</v>
      </c>
      <c r="C61" s="69" t="s">
        <v>31</v>
      </c>
      <c r="D61" s="69" t="s">
        <v>32</v>
      </c>
      <c r="E61" s="69" t="s">
        <v>33</v>
      </c>
      <c r="F61" s="68" t="s">
        <v>36</v>
      </c>
      <c r="G61" s="70" t="s">
        <v>42</v>
      </c>
      <c r="H61" s="66" t="s">
        <v>43</v>
      </c>
      <c r="I61" s="122" t="s">
        <v>39</v>
      </c>
      <c r="J61" s="123"/>
      <c r="K61" s="123"/>
      <c r="L61" s="123"/>
      <c r="M61" s="124"/>
      <c r="N61" s="95"/>
      <c r="O61" s="49"/>
      <c r="P61" s="53"/>
      <c r="Q61" s="71"/>
      <c r="R61" s="72"/>
    </row>
    <row r="62" spans="1:18" ht="0" hidden="1" customHeight="1" x14ac:dyDescent="0.2">
      <c r="B62" s="68">
        <f t="shared" si="0"/>
        <v>4</v>
      </c>
      <c r="C62" s="69" t="s">
        <v>31</v>
      </c>
      <c r="D62" s="69" t="s">
        <v>32</v>
      </c>
      <c r="E62" s="69" t="s">
        <v>33</v>
      </c>
      <c r="F62" s="68" t="s">
        <v>36</v>
      </c>
      <c r="G62" s="70" t="s">
        <v>44</v>
      </c>
      <c r="H62" s="66" t="s">
        <v>45</v>
      </c>
      <c r="I62" s="122" t="s">
        <v>39</v>
      </c>
      <c r="J62" s="123"/>
      <c r="K62" s="123"/>
      <c r="L62" s="123"/>
      <c r="M62" s="124"/>
      <c r="N62" s="95"/>
      <c r="O62" s="49"/>
      <c r="P62" s="53"/>
      <c r="Q62" s="71"/>
      <c r="R62" s="72"/>
    </row>
    <row r="63" spans="1:18" ht="0" hidden="1" customHeight="1" x14ac:dyDescent="0.2">
      <c r="B63" s="68">
        <f t="shared" si="0"/>
        <v>5</v>
      </c>
      <c r="C63" s="69" t="s">
        <v>31</v>
      </c>
      <c r="D63" s="69" t="s">
        <v>32</v>
      </c>
      <c r="E63" s="69" t="s">
        <v>33</v>
      </c>
      <c r="F63" s="68" t="s">
        <v>36</v>
      </c>
      <c r="G63" s="70" t="s">
        <v>46</v>
      </c>
      <c r="H63" s="66" t="s">
        <v>47</v>
      </c>
      <c r="I63" s="122" t="s">
        <v>39</v>
      </c>
      <c r="J63" s="123"/>
      <c r="K63" s="123"/>
      <c r="L63" s="123"/>
      <c r="M63" s="124"/>
      <c r="N63" s="95"/>
      <c r="O63" s="49"/>
      <c r="P63" s="53"/>
      <c r="Q63" s="71"/>
      <c r="R63" s="72"/>
    </row>
    <row r="64" spans="1:18" ht="0" hidden="1" customHeight="1" x14ac:dyDescent="0.2">
      <c r="B64" s="68">
        <f t="shared" si="0"/>
        <v>6</v>
      </c>
      <c r="C64" s="69" t="s">
        <v>31</v>
      </c>
      <c r="D64" s="69" t="s">
        <v>32</v>
      </c>
      <c r="E64" s="69" t="s">
        <v>33</v>
      </c>
      <c r="F64" s="68" t="s">
        <v>36</v>
      </c>
      <c r="G64" s="70" t="s">
        <v>48</v>
      </c>
      <c r="H64" s="66" t="s">
        <v>49</v>
      </c>
      <c r="I64" s="122" t="s">
        <v>39</v>
      </c>
      <c r="J64" s="123"/>
      <c r="K64" s="123"/>
      <c r="L64" s="123"/>
      <c r="M64" s="124"/>
      <c r="N64" s="95"/>
      <c r="O64" s="49"/>
      <c r="P64" s="53"/>
      <c r="Q64" s="71"/>
      <c r="R64" s="72"/>
    </row>
    <row r="65" spans="2:18" ht="0" hidden="1" customHeight="1" x14ac:dyDescent="0.2">
      <c r="B65" s="68">
        <f t="shared" si="0"/>
        <v>7</v>
      </c>
      <c r="C65" s="69" t="s">
        <v>31</v>
      </c>
      <c r="D65" s="69" t="s">
        <v>32</v>
      </c>
      <c r="E65" s="69" t="s">
        <v>33</v>
      </c>
      <c r="F65" s="68" t="s">
        <v>36</v>
      </c>
      <c r="G65" s="70" t="s">
        <v>50</v>
      </c>
      <c r="H65" s="66" t="s">
        <v>51</v>
      </c>
      <c r="I65" s="122" t="s">
        <v>39</v>
      </c>
      <c r="J65" s="123"/>
      <c r="K65" s="123"/>
      <c r="L65" s="123"/>
      <c r="M65" s="124"/>
      <c r="N65" s="95"/>
      <c r="O65" s="49"/>
      <c r="P65" s="53"/>
      <c r="Q65" s="71"/>
      <c r="R65" s="72"/>
    </row>
    <row r="66" spans="2:18" ht="0" hidden="1" customHeight="1" x14ac:dyDescent="0.2">
      <c r="B66" s="68">
        <f t="shared" si="0"/>
        <v>8</v>
      </c>
      <c r="C66" s="69" t="s">
        <v>31</v>
      </c>
      <c r="D66" s="69" t="s">
        <v>32</v>
      </c>
      <c r="E66" s="69" t="s">
        <v>33</v>
      </c>
      <c r="F66" s="68" t="s">
        <v>36</v>
      </c>
      <c r="G66" s="70" t="s">
        <v>52</v>
      </c>
      <c r="H66" s="66" t="s">
        <v>53</v>
      </c>
      <c r="I66" s="122" t="s">
        <v>39</v>
      </c>
      <c r="J66" s="123"/>
      <c r="K66" s="123"/>
      <c r="L66" s="123"/>
      <c r="M66" s="124"/>
      <c r="N66" s="95"/>
      <c r="O66" s="49"/>
      <c r="P66" s="53"/>
      <c r="Q66" s="71"/>
      <c r="R66" s="72"/>
    </row>
    <row r="67" spans="2:18" ht="0" hidden="1" customHeight="1" x14ac:dyDescent="0.2">
      <c r="B67" s="68">
        <f t="shared" si="0"/>
        <v>9</v>
      </c>
      <c r="C67" s="69" t="s">
        <v>31</v>
      </c>
      <c r="D67" s="69" t="s">
        <v>32</v>
      </c>
      <c r="E67" s="69" t="s">
        <v>33</v>
      </c>
      <c r="F67" s="68" t="s">
        <v>54</v>
      </c>
      <c r="G67" s="70" t="s">
        <v>55</v>
      </c>
      <c r="H67" s="66" t="s">
        <v>56</v>
      </c>
      <c r="I67" s="122" t="s">
        <v>57</v>
      </c>
      <c r="J67" s="123"/>
      <c r="K67" s="123"/>
      <c r="L67" s="123"/>
      <c r="M67" s="124"/>
      <c r="N67" s="95"/>
      <c r="O67" s="49"/>
      <c r="P67" s="53"/>
      <c r="Q67" s="71"/>
      <c r="R67" s="72"/>
    </row>
    <row r="68" spans="2:18" ht="0" hidden="1" customHeight="1" x14ac:dyDescent="0.2">
      <c r="B68" s="68">
        <f t="shared" si="0"/>
        <v>10</v>
      </c>
      <c r="C68" s="69" t="s">
        <v>31</v>
      </c>
      <c r="D68" s="69" t="s">
        <v>32</v>
      </c>
      <c r="E68" s="69" t="s">
        <v>33</v>
      </c>
      <c r="F68" s="68" t="s">
        <v>54</v>
      </c>
      <c r="G68" s="70" t="s">
        <v>58</v>
      </c>
      <c r="H68" s="66" t="s">
        <v>59</v>
      </c>
      <c r="I68" s="122" t="s">
        <v>57</v>
      </c>
      <c r="J68" s="123"/>
      <c r="K68" s="123"/>
      <c r="L68" s="123"/>
      <c r="M68" s="124"/>
      <c r="N68" s="95"/>
      <c r="O68" s="49"/>
      <c r="P68" s="53"/>
      <c r="Q68" s="71"/>
      <c r="R68" s="72"/>
    </row>
    <row r="69" spans="2:18" ht="0" hidden="1" customHeight="1" x14ac:dyDescent="0.2">
      <c r="B69" s="68">
        <f t="shared" si="0"/>
        <v>11</v>
      </c>
      <c r="C69" s="69" t="s">
        <v>31</v>
      </c>
      <c r="D69" s="69" t="s">
        <v>32</v>
      </c>
      <c r="E69" s="69" t="s">
        <v>33</v>
      </c>
      <c r="F69" s="68" t="s">
        <v>54</v>
      </c>
      <c r="G69" s="70" t="s">
        <v>60</v>
      </c>
      <c r="H69" s="66" t="s">
        <v>61</v>
      </c>
      <c r="I69" s="122" t="s">
        <v>57</v>
      </c>
      <c r="J69" s="123"/>
      <c r="K69" s="123"/>
      <c r="L69" s="123"/>
      <c r="M69" s="124"/>
      <c r="N69" s="95"/>
      <c r="O69" s="49"/>
      <c r="P69" s="53"/>
      <c r="Q69" s="71"/>
      <c r="R69" s="72"/>
    </row>
    <row r="70" spans="2:18" ht="0" hidden="1" customHeight="1" x14ac:dyDescent="0.2">
      <c r="B70" s="68">
        <f t="shared" si="0"/>
        <v>12</v>
      </c>
      <c r="C70" s="69" t="s">
        <v>31</v>
      </c>
      <c r="D70" s="69" t="s">
        <v>32</v>
      </c>
      <c r="E70" s="69" t="s">
        <v>33</v>
      </c>
      <c r="F70" s="68" t="s">
        <v>54</v>
      </c>
      <c r="G70" s="70" t="s">
        <v>69</v>
      </c>
      <c r="H70" s="66" t="s">
        <v>70</v>
      </c>
      <c r="I70" s="122" t="s">
        <v>57</v>
      </c>
      <c r="J70" s="123"/>
      <c r="K70" s="123"/>
      <c r="L70" s="123"/>
      <c r="M70" s="124"/>
      <c r="N70" s="95"/>
      <c r="O70" s="49"/>
      <c r="P70" s="53"/>
      <c r="Q70" s="71"/>
      <c r="R70" s="72"/>
    </row>
    <row r="71" spans="2:18" ht="0" hidden="1" customHeight="1" x14ac:dyDescent="0.2">
      <c r="B71" s="68">
        <f t="shared" si="0"/>
        <v>13</v>
      </c>
      <c r="C71" s="69" t="s">
        <v>31</v>
      </c>
      <c r="D71" s="69" t="s">
        <v>32</v>
      </c>
      <c r="E71" s="69" t="s">
        <v>33</v>
      </c>
      <c r="F71" s="68" t="s">
        <v>62</v>
      </c>
      <c r="G71" s="42" t="s">
        <v>63</v>
      </c>
      <c r="H71" s="66" t="s">
        <v>64</v>
      </c>
      <c r="I71" s="122" t="s">
        <v>65</v>
      </c>
      <c r="J71" s="123"/>
      <c r="K71" s="123"/>
      <c r="L71" s="123"/>
      <c r="M71" s="124"/>
      <c r="N71" s="95"/>
      <c r="O71" s="49"/>
      <c r="P71" s="53"/>
      <c r="Q71" s="71"/>
      <c r="R71" s="72"/>
    </row>
    <row r="72" spans="2:18" ht="0" hidden="1" customHeight="1" x14ac:dyDescent="0.2">
      <c r="B72" s="68">
        <f t="shared" ref="B72" si="1">B71+1</f>
        <v>14</v>
      </c>
      <c r="C72" s="69" t="s">
        <v>31</v>
      </c>
      <c r="D72" s="69" t="s">
        <v>32</v>
      </c>
      <c r="E72" s="69" t="s">
        <v>33</v>
      </c>
      <c r="F72" s="68" t="s">
        <v>66</v>
      </c>
      <c r="G72" s="70" t="s">
        <v>67</v>
      </c>
      <c r="H72" s="66" t="s">
        <v>35</v>
      </c>
      <c r="I72" s="122" t="s">
        <v>68</v>
      </c>
      <c r="J72" s="123"/>
      <c r="K72" s="123"/>
      <c r="L72" s="123"/>
      <c r="M72" s="124"/>
      <c r="N72" s="95"/>
      <c r="O72" s="49"/>
      <c r="P72" s="53"/>
      <c r="Q72" s="71"/>
      <c r="R72" s="72"/>
    </row>
  </sheetData>
  <sheetProtection formatCells="0" formatColumns="0" formatRows="0" insertColumns="0" insertRows="0" insertHyperlinks="0" deleteColumns="0" deleteRows="0" selectLockedCells="1" sort="0" autoFilter="0" pivotTables="0"/>
  <dataConsolidate/>
  <mergeCells count="80">
    <mergeCell ref="I13:K13"/>
    <mergeCell ref="I14:M14"/>
    <mergeCell ref="I61:M61"/>
    <mergeCell ref="I44:M44"/>
    <mergeCell ref="I72:M72"/>
    <mergeCell ref="I45:M45"/>
    <mergeCell ref="I46:M46"/>
    <mergeCell ref="I49:M49"/>
    <mergeCell ref="I50:M50"/>
    <mergeCell ref="I47:M47"/>
    <mergeCell ref="I48:M48"/>
    <mergeCell ref="I51:M51"/>
    <mergeCell ref="I52:M52"/>
    <mergeCell ref="I53:M53"/>
    <mergeCell ref="I54:M54"/>
    <mergeCell ref="I55:M55"/>
    <mergeCell ref="I67:M67"/>
    <mergeCell ref="I68:M68"/>
    <mergeCell ref="I71:M71"/>
    <mergeCell ref="I62:M62"/>
    <mergeCell ref="I63:M63"/>
    <mergeCell ref="I64:M64"/>
    <mergeCell ref="I65:M65"/>
    <mergeCell ref="I66:M66"/>
    <mergeCell ref="I69:M69"/>
    <mergeCell ref="I70:M70"/>
    <mergeCell ref="Q47:R47"/>
    <mergeCell ref="Q48:R48"/>
    <mergeCell ref="I56:M56"/>
    <mergeCell ref="I57:M57"/>
    <mergeCell ref="I58:M58"/>
    <mergeCell ref="Q54:R54"/>
    <mergeCell ref="Q22:R22"/>
    <mergeCell ref="Q23:R23"/>
    <mergeCell ref="I32:M32"/>
    <mergeCell ref="I33:M33"/>
    <mergeCell ref="I34:M34"/>
    <mergeCell ref="I27:M27"/>
    <mergeCell ref="I28:M28"/>
    <mergeCell ref="I22:M22"/>
    <mergeCell ref="I23:M23"/>
    <mergeCell ref="I26:M26"/>
    <mergeCell ref="Q29:R29"/>
    <mergeCell ref="Q34:R34"/>
    <mergeCell ref="I29:M29"/>
    <mergeCell ref="Q15:R15"/>
    <mergeCell ref="Q16:R16"/>
    <mergeCell ref="Q17:R17"/>
    <mergeCell ref="I18:M18"/>
    <mergeCell ref="I20:M20"/>
    <mergeCell ref="I15:M15"/>
    <mergeCell ref="I16:M16"/>
    <mergeCell ref="I17:M17"/>
    <mergeCell ref="Q20:R20"/>
    <mergeCell ref="P3:Q3"/>
    <mergeCell ref="P4:Q4"/>
    <mergeCell ref="P5:Q5"/>
    <mergeCell ref="P6:Q6"/>
    <mergeCell ref="I12:M12"/>
    <mergeCell ref="Q11:R11"/>
    <mergeCell ref="I11:M11"/>
    <mergeCell ref="Q12:R12"/>
    <mergeCell ref="I42:M42"/>
    <mergeCell ref="I43:M43"/>
    <mergeCell ref="I38:M38"/>
    <mergeCell ref="I39:M39"/>
    <mergeCell ref="I36:M36"/>
    <mergeCell ref="I37:M37"/>
    <mergeCell ref="Q37:R37"/>
    <mergeCell ref="Q38:R38"/>
    <mergeCell ref="I35:M35"/>
    <mergeCell ref="I30:M30"/>
    <mergeCell ref="I41:M41"/>
    <mergeCell ref="I40:M40"/>
    <mergeCell ref="I31:M31"/>
    <mergeCell ref="Q21:R21"/>
    <mergeCell ref="Q18:R18"/>
    <mergeCell ref="Q19:R19"/>
    <mergeCell ref="I21:M21"/>
    <mergeCell ref="I19:M19"/>
  </mergeCells>
  <conditionalFormatting sqref="V11:W11">
    <cfRule type="iconSet" priority="57">
      <iconSet iconSet="3Symbols">
        <cfvo type="percent" val="0"/>
        <cfvo type="num" val="1"/>
        <cfvo type="num" val="2"/>
      </iconSet>
    </cfRule>
  </conditionalFormatting>
  <conditionalFormatting sqref="O4:O6">
    <cfRule type="iconSet" priority="71">
      <iconSet iconSet="3Symbols">
        <cfvo type="percent" val="0"/>
        <cfvo type="num" val="1"/>
        <cfvo type="num" val="2"/>
      </iconSet>
    </cfRule>
  </conditionalFormatting>
  <dataValidations disablePrompts="1" count="1">
    <dataValidation type="whole" allowBlank="1" showInputMessage="1" showErrorMessage="1" errorTitle="Número Inválido!!!" error="Resultados permitidos: -1, 0, 1 e 2, conforme legenda acima._x000a_Obrigado,_x000a_Equipe GPQ." sqref="O70:P72 O57:P58 O35:P36" xr:uid="{00000000-0002-0000-0100-000000000000}">
      <formula1>-1</formula1>
      <formula2>2</formula2>
    </dataValidation>
  </dataValidations>
  <hyperlinks>
    <hyperlink ref="N12" location="Evidências!A2" display="Evidências!A2" xr:uid="{8272627B-FE5A-476A-B538-F28354A52E9D}"/>
    <hyperlink ref="N13" location="Evidências!A16" display="Evidências!A16" xr:uid="{D2858DEA-CB18-4825-9D2E-9D10FBEFAC93}"/>
    <hyperlink ref="N14" location="Evidências!A22" display="Evidências!A22" xr:uid="{AA2BCC43-770A-4D77-8295-8779A573D3AC}"/>
    <hyperlink ref="N15" location="Evidências!A54" display="Evidências!A54" xr:uid="{03B4A82E-E0F5-4C39-A194-E272D27085F5}"/>
    <hyperlink ref="N16" location="Evidências!A63" display="Evidências!A63" xr:uid="{2906E4E2-6174-433D-89C2-8634DEAB7776}"/>
    <hyperlink ref="N17" location="Evidências!A83" display="Evidências!A83" xr:uid="{35ADD06A-2469-448E-8D0C-32DE465DC310}"/>
    <hyperlink ref="N18" location="Evidências!A103" display="Evidências!A103" xr:uid="{1CD14A78-B5D6-4308-B633-F86320A9E162}"/>
    <hyperlink ref="N19" location="Evidências!A131" display="Evidências!A131" xr:uid="{D8196FD4-AF07-4B86-B248-61461E87EE12}"/>
    <hyperlink ref="N20" location="Evidências!A150" display="Evidências!A150" xr:uid="{3287CBBB-F7B0-4A6D-A8D6-34FF305A5DB3}"/>
  </hyperlinks>
  <pageMargins left="0.511811024" right="0.511811024" top="0.78740157499999996" bottom="0.78740157499999996" header="0.31496062000000002" footer="0.31496062000000002"/>
  <pageSetup paperSize="9" orientation="portrait" verticalDpi="360" r:id="rId1"/>
  <ignoredErrors>
    <ignoredError sqref="L5:L7 I8 I3:I6" unlockedFormula="1"/>
    <ignoredError sqref="I7" formulaRange="1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9B60D23F-DFE2-48EA-AC73-BAFAD848C6E5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O67:P72</xm:sqref>
        </x14:conditionalFormatting>
        <x14:conditionalFormatting xmlns:xm="http://schemas.microsoft.com/office/excel/2006/main">
          <x14:cfRule type="iconSet" priority="73" id="{FBDF774F-F446-43C7-8968-5F68C4386D67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O38:P56</xm:sqref>
        </x14:conditionalFormatting>
        <x14:conditionalFormatting xmlns:xm="http://schemas.microsoft.com/office/excel/2006/main">
          <x14:cfRule type="iconSet" priority="77" id="{B3AE3077-140A-4E41-A026-D5D33C63B738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O57:P58</xm:sqref>
        </x14:conditionalFormatting>
        <x14:conditionalFormatting xmlns:xm="http://schemas.microsoft.com/office/excel/2006/main">
          <x14:cfRule type="iconSet" priority="78" id="{0F5C60ED-FC2D-4C2D-AB63-0C449EF9CC7F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O32:P36</xm:sqref>
        </x14:conditionalFormatting>
        <x14:conditionalFormatting xmlns:xm="http://schemas.microsoft.com/office/excel/2006/main">
          <x14:cfRule type="iconSet" priority="18" id="{DCDEA083-29EF-42A6-9A75-99076CE7D79C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O37:P37</xm:sqref>
        </x14:conditionalFormatting>
        <x14:conditionalFormatting xmlns:xm="http://schemas.microsoft.com/office/excel/2006/main">
          <x14:cfRule type="iconSet" priority="79" id="{1E50A99C-B806-49D3-8FC3-73C4723D2AB4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O59:P66</xm:sqref>
        </x14:conditionalFormatting>
        <x14:conditionalFormatting xmlns:xm="http://schemas.microsoft.com/office/excel/2006/main">
          <x14:cfRule type="iconSet" priority="80" id="{E7A455B2-166D-4120-9C9C-4B1F4446B6F9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O22:P31 O18:P18</xm:sqref>
        </x14:conditionalFormatting>
        <x14:conditionalFormatting xmlns:xm="http://schemas.microsoft.com/office/excel/2006/main">
          <x14:cfRule type="iconSet" priority="8" id="{8622583F-B384-4DD6-93AE-E53D9ED9C83A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O19:P19</xm:sqref>
        </x14:conditionalFormatting>
        <x14:conditionalFormatting xmlns:xm="http://schemas.microsoft.com/office/excel/2006/main">
          <x14:cfRule type="iconSet" priority="6" id="{F6772D94-2636-4E39-846C-62779B5990A0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O20:P20</xm:sqref>
        </x14:conditionalFormatting>
        <x14:conditionalFormatting xmlns:xm="http://schemas.microsoft.com/office/excel/2006/main">
          <x14:cfRule type="iconSet" priority="5" id="{FBAE9EE7-9732-4F35-9D19-99BE9B757B64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O21:P21</xm:sqref>
        </x14:conditionalFormatting>
        <x14:conditionalFormatting xmlns:xm="http://schemas.microsoft.com/office/excel/2006/main">
          <x14:cfRule type="iconSet" priority="4" id="{1D96DF68-EE43-4A01-B2CA-18D0787E2DF9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O12:P14</xm:sqref>
        </x14:conditionalFormatting>
        <x14:conditionalFormatting xmlns:xm="http://schemas.microsoft.com/office/excel/2006/main">
          <x14:cfRule type="iconSet" priority="3" id="{F67DA1F9-5F76-452B-BD7B-291332E84F75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O15:P15</xm:sqref>
        </x14:conditionalFormatting>
        <x14:conditionalFormatting xmlns:xm="http://schemas.microsoft.com/office/excel/2006/main">
          <x14:cfRule type="iconSet" priority="2" id="{DC89EDF6-BD6F-426F-83AC-98D381CF7EC1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O16:P16</xm:sqref>
        </x14:conditionalFormatting>
        <x14:conditionalFormatting xmlns:xm="http://schemas.microsoft.com/office/excel/2006/main">
          <x14:cfRule type="iconSet" priority="1" id="{E6A05616-50D6-4CBA-BCE2-A57CDE4A41F7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O17:P17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188E-2D5E-4AA9-84E6-CED58D1E22F9}">
  <dimension ref="A1:N218"/>
  <sheetViews>
    <sheetView workbookViewId="0">
      <selection activeCell="P9" sqref="P9"/>
    </sheetView>
  </sheetViews>
  <sheetFormatPr defaultRowHeight="15" x14ac:dyDescent="0.25"/>
  <cols>
    <col min="1" max="1" width="8.7109375" style="106" customWidth="1"/>
    <col min="2" max="2" width="14.140625" customWidth="1"/>
  </cols>
  <sheetData>
    <row r="1" spans="1:14" ht="15.75" customHeight="1" thickTop="1" x14ac:dyDescent="0.25">
      <c r="A1" s="101" t="s">
        <v>22</v>
      </c>
      <c r="B1" s="97" t="s">
        <v>106</v>
      </c>
      <c r="C1" s="103"/>
      <c r="D1" s="103"/>
      <c r="E1" s="104"/>
      <c r="F1" s="105"/>
      <c r="G1" s="102"/>
    </row>
    <row r="2" spans="1:14" x14ac:dyDescent="0.25">
      <c r="A2" s="146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6">
        <v>1</v>
      </c>
    </row>
    <row r="3" spans="1:14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6"/>
    </row>
    <row r="4" spans="1:14" x14ac:dyDescent="0.25">
      <c r="A4" s="146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6"/>
    </row>
    <row r="5" spans="1:14" x14ac:dyDescent="0.25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6"/>
    </row>
    <row r="6" spans="1:14" x14ac:dyDescent="0.25">
      <c r="A6" s="146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6"/>
    </row>
    <row r="7" spans="1:14" x14ac:dyDescent="0.25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6"/>
    </row>
    <row r="8" spans="1:14" x14ac:dyDescent="0.25">
      <c r="A8" s="146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6"/>
    </row>
    <row r="9" spans="1:14" x14ac:dyDescent="0.25">
      <c r="A9" s="146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6"/>
    </row>
    <row r="10" spans="1:14" x14ac:dyDescent="0.25">
      <c r="A10" s="146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6"/>
    </row>
    <row r="11" spans="1:14" x14ac:dyDescent="0.25">
      <c r="A11" s="146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6"/>
    </row>
    <row r="12" spans="1:14" x14ac:dyDescent="0.25">
      <c r="A12" s="146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6"/>
    </row>
    <row r="13" spans="1:14" x14ac:dyDescent="0.25">
      <c r="A13" s="146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6"/>
    </row>
    <row r="14" spans="1:14" x14ac:dyDescent="0.25">
      <c r="A14" s="146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6"/>
    </row>
    <row r="15" spans="1:14" x14ac:dyDescent="0.25">
      <c r="A15" s="146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6"/>
    </row>
    <row r="16" spans="1:14" x14ac:dyDescent="0.25">
      <c r="A16" s="146">
        <v>2</v>
      </c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6">
        <v>2</v>
      </c>
    </row>
    <row r="17" spans="1:14" x14ac:dyDescent="0.25">
      <c r="A17" s="146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6"/>
    </row>
    <row r="18" spans="1:14" x14ac:dyDescent="0.25">
      <c r="A18" s="146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6"/>
    </row>
    <row r="19" spans="1:14" x14ac:dyDescent="0.25">
      <c r="A19" s="146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6"/>
    </row>
    <row r="20" spans="1:14" x14ac:dyDescent="0.25">
      <c r="A20" s="146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6"/>
    </row>
    <row r="21" spans="1:14" x14ac:dyDescent="0.25">
      <c r="A21" s="146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6"/>
    </row>
    <row r="22" spans="1:14" x14ac:dyDescent="0.25">
      <c r="A22" s="146">
        <v>3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6">
        <v>3</v>
      </c>
    </row>
    <row r="23" spans="1:14" x14ac:dyDescent="0.25">
      <c r="A23" s="146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6"/>
    </row>
    <row r="24" spans="1:14" x14ac:dyDescent="0.25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6"/>
    </row>
    <row r="25" spans="1:14" x14ac:dyDescent="0.25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6"/>
    </row>
    <row r="26" spans="1:14" x14ac:dyDescent="0.25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6"/>
    </row>
    <row r="27" spans="1:14" x14ac:dyDescent="0.25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6"/>
    </row>
    <row r="28" spans="1:14" x14ac:dyDescent="0.25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6"/>
    </row>
    <row r="29" spans="1:14" x14ac:dyDescent="0.25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6"/>
    </row>
    <row r="30" spans="1:14" x14ac:dyDescent="0.25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6"/>
    </row>
    <row r="31" spans="1:14" x14ac:dyDescent="0.25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6"/>
    </row>
    <row r="32" spans="1:14" x14ac:dyDescent="0.25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6"/>
    </row>
    <row r="33" spans="1:14" x14ac:dyDescent="0.25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6"/>
    </row>
    <row r="34" spans="1:14" x14ac:dyDescent="0.25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6"/>
    </row>
    <row r="35" spans="1:14" x14ac:dyDescent="0.25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6"/>
    </row>
    <row r="36" spans="1:14" x14ac:dyDescent="0.25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6"/>
    </row>
    <row r="37" spans="1:14" x14ac:dyDescent="0.25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6"/>
    </row>
    <row r="38" spans="1:14" x14ac:dyDescent="0.25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6"/>
    </row>
    <row r="39" spans="1:14" x14ac:dyDescent="0.25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6"/>
    </row>
    <row r="40" spans="1:14" x14ac:dyDescent="0.25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6"/>
    </row>
    <row r="41" spans="1:14" x14ac:dyDescent="0.25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6"/>
    </row>
    <row r="42" spans="1:14" x14ac:dyDescent="0.25">
      <c r="A42" s="146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6"/>
    </row>
    <row r="43" spans="1:14" x14ac:dyDescent="0.25">
      <c r="A43" s="146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6"/>
    </row>
    <row r="44" spans="1:14" x14ac:dyDescent="0.25">
      <c r="A44" s="146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6"/>
    </row>
    <row r="45" spans="1:14" x14ac:dyDescent="0.25">
      <c r="A45" s="146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6"/>
    </row>
    <row r="46" spans="1:14" x14ac:dyDescent="0.25">
      <c r="A46" s="146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6"/>
    </row>
    <row r="47" spans="1:14" x14ac:dyDescent="0.25">
      <c r="A47" s="146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6"/>
    </row>
    <row r="48" spans="1:14" x14ac:dyDescent="0.25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6"/>
    </row>
    <row r="49" spans="1:14" x14ac:dyDescent="0.25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6"/>
    </row>
    <row r="50" spans="1:14" x14ac:dyDescent="0.25">
      <c r="A50" s="146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6"/>
    </row>
    <row r="51" spans="1:14" x14ac:dyDescent="0.25">
      <c r="A51" s="146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6"/>
    </row>
    <row r="52" spans="1:14" x14ac:dyDescent="0.25">
      <c r="A52" s="146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6"/>
    </row>
    <row r="53" spans="1:14" x14ac:dyDescent="0.25">
      <c r="A53" s="146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6"/>
    </row>
    <row r="54" spans="1:14" x14ac:dyDescent="0.25">
      <c r="A54" s="146">
        <v>4</v>
      </c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6">
        <v>4</v>
      </c>
    </row>
    <row r="55" spans="1:14" x14ac:dyDescent="0.25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6"/>
    </row>
    <row r="56" spans="1:14" x14ac:dyDescent="0.25">
      <c r="A56" s="146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6"/>
    </row>
    <row r="57" spans="1:14" x14ac:dyDescent="0.25">
      <c r="A57" s="146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6"/>
    </row>
    <row r="58" spans="1:14" x14ac:dyDescent="0.25">
      <c r="A58" s="146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6"/>
    </row>
    <row r="59" spans="1:14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6"/>
    </row>
    <row r="60" spans="1:14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6"/>
    </row>
    <row r="61" spans="1:14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6"/>
    </row>
    <row r="62" spans="1:14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6"/>
    </row>
    <row r="63" spans="1:14" x14ac:dyDescent="0.25">
      <c r="A63" s="146">
        <v>5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6">
        <v>5</v>
      </c>
    </row>
    <row r="64" spans="1:14" x14ac:dyDescent="0.25">
      <c r="A64" s="146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6"/>
    </row>
    <row r="65" spans="1:14" x14ac:dyDescent="0.25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6"/>
    </row>
    <row r="66" spans="1:14" x14ac:dyDescent="0.25">
      <c r="A66" s="146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6"/>
    </row>
    <row r="67" spans="1:14" x14ac:dyDescent="0.25">
      <c r="A67" s="146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6"/>
    </row>
    <row r="68" spans="1:14" x14ac:dyDescent="0.25">
      <c r="A68" s="146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6"/>
    </row>
    <row r="69" spans="1:14" x14ac:dyDescent="0.25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6"/>
    </row>
    <row r="70" spans="1:14" x14ac:dyDescent="0.25">
      <c r="A70" s="146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6"/>
    </row>
    <row r="71" spans="1:14" x14ac:dyDescent="0.25">
      <c r="A71" s="146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6"/>
    </row>
    <row r="72" spans="1:14" x14ac:dyDescent="0.25">
      <c r="A72" s="146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6"/>
    </row>
    <row r="73" spans="1:14" x14ac:dyDescent="0.25">
      <c r="A73" s="146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6"/>
    </row>
    <row r="74" spans="1:14" x14ac:dyDescent="0.25">
      <c r="A74" s="146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6"/>
    </row>
    <row r="75" spans="1:14" x14ac:dyDescent="0.25">
      <c r="A75" s="146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6"/>
    </row>
    <row r="76" spans="1:14" x14ac:dyDescent="0.25">
      <c r="A76" s="146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6"/>
    </row>
    <row r="77" spans="1:14" x14ac:dyDescent="0.25">
      <c r="A77" s="146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6"/>
    </row>
    <row r="78" spans="1:14" x14ac:dyDescent="0.25">
      <c r="A78" s="146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6"/>
    </row>
    <row r="79" spans="1:14" x14ac:dyDescent="0.25">
      <c r="A79" s="146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6"/>
    </row>
    <row r="80" spans="1:14" x14ac:dyDescent="0.25">
      <c r="A80" s="146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6"/>
    </row>
    <row r="81" spans="1:14" x14ac:dyDescent="0.25">
      <c r="A81" s="146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6"/>
    </row>
    <row r="82" spans="1:14" x14ac:dyDescent="0.25">
      <c r="A82" s="146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6"/>
    </row>
    <row r="83" spans="1:14" x14ac:dyDescent="0.25">
      <c r="A83" s="146">
        <v>6</v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6">
        <v>6</v>
      </c>
    </row>
    <row r="84" spans="1:14" x14ac:dyDescent="0.25">
      <c r="A84" s="146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6"/>
    </row>
    <row r="85" spans="1:14" x14ac:dyDescent="0.25">
      <c r="A85" s="146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6"/>
    </row>
    <row r="86" spans="1:14" x14ac:dyDescent="0.25">
      <c r="A86" s="146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6"/>
    </row>
    <row r="87" spans="1:14" x14ac:dyDescent="0.25">
      <c r="A87" s="146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6"/>
    </row>
    <row r="88" spans="1:14" x14ac:dyDescent="0.25">
      <c r="A88" s="146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6"/>
    </row>
    <row r="89" spans="1:14" x14ac:dyDescent="0.25">
      <c r="A89" s="146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6"/>
    </row>
    <row r="90" spans="1:14" x14ac:dyDescent="0.25">
      <c r="A90" s="146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6"/>
    </row>
    <row r="91" spans="1:14" x14ac:dyDescent="0.25">
      <c r="A91" s="146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6"/>
    </row>
    <row r="92" spans="1:14" x14ac:dyDescent="0.25">
      <c r="A92" s="146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6"/>
    </row>
    <row r="93" spans="1:14" x14ac:dyDescent="0.25">
      <c r="A93" s="146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6"/>
    </row>
    <row r="94" spans="1:14" x14ac:dyDescent="0.25">
      <c r="A94" s="146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6"/>
    </row>
    <row r="95" spans="1:14" x14ac:dyDescent="0.25">
      <c r="A95" s="146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6"/>
    </row>
    <row r="96" spans="1:14" x14ac:dyDescent="0.25">
      <c r="A96" s="146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6"/>
    </row>
    <row r="97" spans="1:14" x14ac:dyDescent="0.25">
      <c r="A97" s="146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6"/>
    </row>
    <row r="98" spans="1:14" x14ac:dyDescent="0.25">
      <c r="A98" s="146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6"/>
    </row>
    <row r="99" spans="1:14" x14ac:dyDescent="0.25">
      <c r="A99" s="146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6"/>
    </row>
    <row r="100" spans="1:14" x14ac:dyDescent="0.25">
      <c r="A100" s="146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6"/>
    </row>
    <row r="101" spans="1:14" x14ac:dyDescent="0.25">
      <c r="A101" s="146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6"/>
    </row>
    <row r="102" spans="1:14" x14ac:dyDescent="0.25">
      <c r="A102" s="146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6"/>
    </row>
    <row r="103" spans="1:14" x14ac:dyDescent="0.25">
      <c r="A103" s="146">
        <v>7</v>
      </c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6">
        <v>7</v>
      </c>
    </row>
    <row r="104" spans="1:14" x14ac:dyDescent="0.25">
      <c r="A104" s="146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6"/>
    </row>
    <row r="105" spans="1:14" x14ac:dyDescent="0.25">
      <c r="A105" s="146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6"/>
    </row>
    <row r="106" spans="1:14" x14ac:dyDescent="0.25">
      <c r="A106" s="146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6"/>
    </row>
    <row r="107" spans="1:14" x14ac:dyDescent="0.25">
      <c r="A107" s="146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6"/>
    </row>
    <row r="108" spans="1:14" x14ac:dyDescent="0.25">
      <c r="A108" s="146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6"/>
    </row>
    <row r="109" spans="1:14" x14ac:dyDescent="0.25">
      <c r="A109" s="146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6"/>
    </row>
    <row r="110" spans="1:14" x14ac:dyDescent="0.25">
      <c r="A110" s="146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6"/>
    </row>
    <row r="111" spans="1:14" x14ac:dyDescent="0.25">
      <c r="A111" s="146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6"/>
    </row>
    <row r="112" spans="1:14" x14ac:dyDescent="0.25">
      <c r="A112" s="146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6"/>
    </row>
    <row r="113" spans="1:14" x14ac:dyDescent="0.25">
      <c r="A113" s="146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6"/>
    </row>
    <row r="114" spans="1:14" x14ac:dyDescent="0.25">
      <c r="A114" s="146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6"/>
    </row>
    <row r="115" spans="1:14" x14ac:dyDescent="0.25">
      <c r="A115" s="146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6"/>
    </row>
    <row r="116" spans="1:14" x14ac:dyDescent="0.25">
      <c r="A116" s="146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6"/>
    </row>
    <row r="117" spans="1:14" x14ac:dyDescent="0.25">
      <c r="A117" s="146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6"/>
    </row>
    <row r="118" spans="1:14" x14ac:dyDescent="0.25">
      <c r="A118" s="146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6"/>
    </row>
    <row r="119" spans="1:14" x14ac:dyDescent="0.25">
      <c r="A119" s="146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6"/>
    </row>
    <row r="120" spans="1:14" x14ac:dyDescent="0.25">
      <c r="A120" s="146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6"/>
    </row>
    <row r="121" spans="1:14" x14ac:dyDescent="0.25">
      <c r="A121" s="146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6"/>
    </row>
    <row r="122" spans="1:14" x14ac:dyDescent="0.25">
      <c r="A122" s="146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6"/>
    </row>
    <row r="123" spans="1:14" x14ac:dyDescent="0.25">
      <c r="A123" s="146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6"/>
    </row>
    <row r="124" spans="1:14" x14ac:dyDescent="0.25">
      <c r="A124" s="146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6"/>
    </row>
    <row r="125" spans="1:14" x14ac:dyDescent="0.25">
      <c r="A125" s="146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6"/>
    </row>
    <row r="126" spans="1:14" x14ac:dyDescent="0.25">
      <c r="A126" s="146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6"/>
    </row>
    <row r="127" spans="1:14" x14ac:dyDescent="0.25">
      <c r="A127" s="146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6"/>
    </row>
    <row r="128" spans="1:14" x14ac:dyDescent="0.25">
      <c r="A128" s="146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6"/>
    </row>
    <row r="129" spans="1:14" x14ac:dyDescent="0.25">
      <c r="A129" s="146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6"/>
    </row>
    <row r="130" spans="1:14" x14ac:dyDescent="0.25">
      <c r="A130" s="146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6"/>
    </row>
    <row r="131" spans="1:14" x14ac:dyDescent="0.25">
      <c r="A131" s="146">
        <v>8</v>
      </c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6">
        <v>8</v>
      </c>
    </row>
    <row r="132" spans="1:14" x14ac:dyDescent="0.25">
      <c r="A132" s="146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6"/>
    </row>
    <row r="133" spans="1:14" x14ac:dyDescent="0.25">
      <c r="A133" s="146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6"/>
    </row>
    <row r="134" spans="1:14" x14ac:dyDescent="0.25">
      <c r="A134" s="146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6"/>
    </row>
    <row r="135" spans="1:14" x14ac:dyDescent="0.25">
      <c r="A135" s="146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6"/>
    </row>
    <row r="136" spans="1:14" x14ac:dyDescent="0.25">
      <c r="A136" s="146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6"/>
    </row>
    <row r="137" spans="1:14" x14ac:dyDescent="0.25">
      <c r="A137" s="146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6"/>
    </row>
    <row r="138" spans="1:14" x14ac:dyDescent="0.25">
      <c r="A138" s="146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6"/>
    </row>
    <row r="139" spans="1:14" x14ac:dyDescent="0.25">
      <c r="A139" s="146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6"/>
    </row>
    <row r="140" spans="1:14" x14ac:dyDescent="0.25">
      <c r="A140" s="146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6"/>
    </row>
    <row r="141" spans="1:14" x14ac:dyDescent="0.25">
      <c r="A141" s="146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6"/>
    </row>
    <row r="142" spans="1:14" x14ac:dyDescent="0.25">
      <c r="A142" s="146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6"/>
    </row>
    <row r="143" spans="1:14" x14ac:dyDescent="0.25">
      <c r="A143" s="146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6"/>
    </row>
    <row r="144" spans="1:14" x14ac:dyDescent="0.25">
      <c r="A144" s="146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6"/>
    </row>
    <row r="145" spans="1:14" x14ac:dyDescent="0.25">
      <c r="A145" s="146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6"/>
    </row>
    <row r="146" spans="1:14" x14ac:dyDescent="0.25">
      <c r="A146" s="146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6"/>
    </row>
    <row r="147" spans="1:14" x14ac:dyDescent="0.25">
      <c r="A147" s="146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6"/>
    </row>
    <row r="148" spans="1:14" x14ac:dyDescent="0.25">
      <c r="A148" s="146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6"/>
    </row>
    <row r="149" spans="1:14" x14ac:dyDescent="0.25">
      <c r="A149" s="146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6"/>
    </row>
    <row r="150" spans="1:14" x14ac:dyDescent="0.25">
      <c r="A150" s="146">
        <v>9</v>
      </c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6">
        <v>9</v>
      </c>
    </row>
    <row r="151" spans="1:14" x14ac:dyDescent="0.25">
      <c r="A151" s="146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6"/>
    </row>
    <row r="152" spans="1:14" x14ac:dyDescent="0.25">
      <c r="A152" s="146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6"/>
    </row>
    <row r="153" spans="1:14" x14ac:dyDescent="0.25">
      <c r="A153" s="146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6"/>
    </row>
    <row r="154" spans="1:14" x14ac:dyDescent="0.25">
      <c r="A154" s="146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6"/>
    </row>
    <row r="155" spans="1:14" x14ac:dyDescent="0.25">
      <c r="A155" s="146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6"/>
    </row>
    <row r="156" spans="1:14" x14ac:dyDescent="0.25">
      <c r="A156" s="146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6"/>
    </row>
    <row r="157" spans="1:14" x14ac:dyDescent="0.25">
      <c r="A157" s="146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6"/>
    </row>
    <row r="158" spans="1:14" x14ac:dyDescent="0.25">
      <c r="A158" s="146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6"/>
    </row>
    <row r="159" spans="1:14" x14ac:dyDescent="0.25">
      <c r="A159" s="146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6"/>
    </row>
    <row r="160" spans="1:14" x14ac:dyDescent="0.25">
      <c r="A160" s="146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6"/>
    </row>
    <row r="161" spans="1:14" x14ac:dyDescent="0.25">
      <c r="A161" s="146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6"/>
    </row>
    <row r="162" spans="1:14" x14ac:dyDescent="0.25">
      <c r="A162" s="146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6"/>
    </row>
    <row r="163" spans="1:14" x14ac:dyDescent="0.25">
      <c r="A163" s="146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6"/>
    </row>
    <row r="164" spans="1:14" x14ac:dyDescent="0.25">
      <c r="A164" s="146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6"/>
    </row>
    <row r="165" spans="1:14" x14ac:dyDescent="0.25">
      <c r="A165" s="146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6"/>
    </row>
    <row r="166" spans="1:14" x14ac:dyDescent="0.25">
      <c r="A166" s="146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6"/>
    </row>
    <row r="167" spans="1:14" x14ac:dyDescent="0.25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6"/>
    </row>
    <row r="168" spans="1:14" x14ac:dyDescent="0.25">
      <c r="A168" s="146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6"/>
    </row>
    <row r="169" spans="1:14" x14ac:dyDescent="0.25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6"/>
    </row>
    <row r="170" spans="1:14" x14ac:dyDescent="0.25">
      <c r="A170" s="146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6"/>
    </row>
    <row r="171" spans="1:14" x14ac:dyDescent="0.25">
      <c r="A171" s="146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6"/>
    </row>
    <row r="172" spans="1:14" x14ac:dyDescent="0.25">
      <c r="A172" s="146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6"/>
    </row>
    <row r="173" spans="1:14" x14ac:dyDescent="0.25">
      <c r="A173" s="146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6"/>
    </row>
    <row r="174" spans="1:14" x14ac:dyDescent="0.25">
      <c r="A174" s="146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6"/>
    </row>
    <row r="175" spans="1:14" x14ac:dyDescent="0.25">
      <c r="A175" s="146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6"/>
    </row>
    <row r="176" spans="1:14" x14ac:dyDescent="0.25">
      <c r="A176" s="146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6"/>
    </row>
    <row r="177" spans="1:14" x14ac:dyDescent="0.25">
      <c r="A177" s="146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6"/>
    </row>
    <row r="178" spans="1:14" x14ac:dyDescent="0.25">
      <c r="A178" s="146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6"/>
    </row>
    <row r="179" spans="1:14" x14ac:dyDescent="0.25">
      <c r="A179" s="146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6"/>
    </row>
    <row r="180" spans="1:14" x14ac:dyDescent="0.25">
      <c r="A180" s="146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6"/>
    </row>
    <row r="181" spans="1:14" x14ac:dyDescent="0.25">
      <c r="A181" s="146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6"/>
    </row>
    <row r="182" spans="1:14" x14ac:dyDescent="0.25">
      <c r="A182" s="146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6"/>
    </row>
    <row r="183" spans="1:14" x14ac:dyDescent="0.25">
      <c r="A183" s="146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6"/>
    </row>
    <row r="184" spans="1:14" x14ac:dyDescent="0.25">
      <c r="A184" s="146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6"/>
    </row>
    <row r="185" spans="1:14" x14ac:dyDescent="0.25">
      <c r="A185" s="146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6"/>
    </row>
    <row r="186" spans="1:14" x14ac:dyDescent="0.25">
      <c r="A186" s="146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6"/>
    </row>
    <row r="187" spans="1:14" x14ac:dyDescent="0.25">
      <c r="A187" s="146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6"/>
    </row>
    <row r="188" spans="1:14" x14ac:dyDescent="0.25">
      <c r="A188" s="146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6"/>
    </row>
    <row r="189" spans="1:14" x14ac:dyDescent="0.25">
      <c r="A189" s="146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6"/>
    </row>
    <row r="190" spans="1:14" x14ac:dyDescent="0.25">
      <c r="A190" s="146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6"/>
    </row>
    <row r="191" spans="1:14" x14ac:dyDescent="0.25">
      <c r="A191" s="146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6"/>
    </row>
    <row r="192" spans="1:14" x14ac:dyDescent="0.25">
      <c r="A192" s="146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6"/>
    </row>
    <row r="193" spans="1:14" x14ac:dyDescent="0.25">
      <c r="A193" s="146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6"/>
    </row>
    <row r="194" spans="1:14" x14ac:dyDescent="0.25">
      <c r="A194" s="146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6"/>
    </row>
    <row r="195" spans="1:14" x14ac:dyDescent="0.25">
      <c r="A195" s="146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6"/>
    </row>
    <row r="196" spans="1:14" x14ac:dyDescent="0.25">
      <c r="A196" s="146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6"/>
    </row>
    <row r="197" spans="1:14" x14ac:dyDescent="0.25">
      <c r="A197" s="146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6"/>
    </row>
    <row r="198" spans="1:14" x14ac:dyDescent="0.25">
      <c r="A198" s="146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6"/>
    </row>
    <row r="199" spans="1:14" x14ac:dyDescent="0.25">
      <c r="A199" s="146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6"/>
    </row>
    <row r="200" spans="1:14" x14ac:dyDescent="0.25">
      <c r="A200" s="146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6"/>
    </row>
    <row r="201" spans="1:14" x14ac:dyDescent="0.25">
      <c r="A201" s="146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6"/>
    </row>
    <row r="202" spans="1:14" x14ac:dyDescent="0.25">
      <c r="A202" s="146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6"/>
    </row>
    <row r="203" spans="1:14" x14ac:dyDescent="0.25">
      <c r="A203" s="146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6"/>
    </row>
    <row r="204" spans="1:14" x14ac:dyDescent="0.25">
      <c r="A204" s="146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6"/>
    </row>
    <row r="205" spans="1:14" x14ac:dyDescent="0.25">
      <c r="A205" s="146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6"/>
    </row>
    <row r="206" spans="1:14" x14ac:dyDescent="0.25">
      <c r="A206" s="146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6"/>
    </row>
    <row r="207" spans="1:14" x14ac:dyDescent="0.25">
      <c r="A207" s="146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6"/>
    </row>
    <row r="208" spans="1:14" x14ac:dyDescent="0.25">
      <c r="A208" s="146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6"/>
    </row>
    <row r="209" spans="1:14" x14ac:dyDescent="0.25">
      <c r="A209" s="146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6"/>
    </row>
    <row r="210" spans="1:14" x14ac:dyDescent="0.25">
      <c r="A210" s="146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6"/>
    </row>
    <row r="211" spans="1:14" x14ac:dyDescent="0.25">
      <c r="A211" s="146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6"/>
    </row>
    <row r="212" spans="1:14" x14ac:dyDescent="0.25">
      <c r="A212" s="146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6"/>
    </row>
    <row r="213" spans="1:14" x14ac:dyDescent="0.25">
      <c r="A213" s="146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6"/>
    </row>
    <row r="214" spans="1:14" x14ac:dyDescent="0.25">
      <c r="A214" s="146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6"/>
    </row>
    <row r="215" spans="1:14" x14ac:dyDescent="0.25">
      <c r="A215" s="146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6"/>
    </row>
    <row r="216" spans="1:14" x14ac:dyDescent="0.25">
      <c r="A216" s="146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6"/>
    </row>
    <row r="217" spans="1:14" x14ac:dyDescent="0.25">
      <c r="A217" s="146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6"/>
    </row>
    <row r="218" spans="1:14" x14ac:dyDescent="0.25">
      <c r="A218" s="146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6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showGridLines="0" workbookViewId="0">
      <selection activeCell="B12" sqref="B12"/>
    </sheetView>
  </sheetViews>
  <sheetFormatPr defaultRowHeight="15" x14ac:dyDescent="0.25"/>
  <cols>
    <col min="1" max="1" width="2.42578125" customWidth="1"/>
    <col min="2" max="2" width="14.5703125" customWidth="1"/>
    <col min="3" max="3" width="27.85546875" customWidth="1"/>
    <col min="4" max="4" width="120.42578125" customWidth="1"/>
  </cols>
  <sheetData>
    <row r="1" spans="1:13" s="5" customFormat="1" ht="5.25" customHeight="1" x14ac:dyDescent="0.2">
      <c r="A1" s="1"/>
      <c r="B1" s="1"/>
      <c r="C1" s="1"/>
      <c r="D1" s="1"/>
      <c r="E1" s="1"/>
      <c r="F1" s="1"/>
      <c r="G1" s="3"/>
      <c r="H1" s="3"/>
      <c r="I1" s="4"/>
      <c r="J1" s="4"/>
      <c r="K1" s="4"/>
      <c r="L1" s="4"/>
      <c r="M1" s="4"/>
    </row>
    <row r="2" spans="1:13" s="11" customFormat="1" ht="3" customHeight="1" x14ac:dyDescent="0.2">
      <c r="A2" s="1"/>
      <c r="B2" s="6"/>
      <c r="C2" s="7"/>
      <c r="D2" s="10"/>
    </row>
    <row r="3" spans="1:13" s="11" customFormat="1" ht="13.5" customHeight="1" x14ac:dyDescent="0.2">
      <c r="A3" s="1"/>
      <c r="B3" s="12"/>
      <c r="C3" s="13"/>
      <c r="D3" s="17"/>
    </row>
    <row r="4" spans="1:13" s="5" customFormat="1" ht="12.75" customHeight="1" x14ac:dyDescent="0.2">
      <c r="A4" s="1"/>
      <c r="B4" s="18"/>
      <c r="C4" s="1"/>
      <c r="D4" s="20"/>
      <c r="E4" s="4"/>
      <c r="F4" s="4"/>
    </row>
    <row r="5" spans="1:13" s="5" customFormat="1" ht="12.75" customHeight="1" x14ac:dyDescent="0.2">
      <c r="A5" s="21"/>
      <c r="B5" s="22"/>
      <c r="C5" s="23"/>
      <c r="D5" s="24"/>
    </row>
    <row r="6" spans="1:13" s="5" customFormat="1" ht="12.75" customHeight="1" x14ac:dyDescent="0.2">
      <c r="A6" s="21"/>
      <c r="B6" s="22"/>
      <c r="C6" s="23"/>
      <c r="D6" s="24"/>
    </row>
    <row r="7" spans="1:13" s="5" customFormat="1" ht="12.75" customHeight="1" x14ac:dyDescent="0.2">
      <c r="A7" s="21"/>
      <c r="B7" s="22"/>
      <c r="C7" s="23"/>
      <c r="D7" s="24"/>
    </row>
    <row r="8" spans="1:13" s="5" customFormat="1" ht="12.75" customHeight="1" x14ac:dyDescent="0.2">
      <c r="A8" s="21"/>
      <c r="B8" s="22"/>
      <c r="C8" s="23"/>
      <c r="D8" s="25"/>
    </row>
    <row r="9" spans="1:13" s="5" customFormat="1" ht="3" customHeight="1" x14ac:dyDescent="0.2">
      <c r="A9" s="21"/>
      <c r="B9" s="26"/>
      <c r="C9" s="27"/>
      <c r="D9" s="30"/>
    </row>
    <row r="10" spans="1:13" s="5" customFormat="1" ht="4.5" customHeight="1" x14ac:dyDescent="0.2">
      <c r="A10" s="1"/>
      <c r="C10" s="31"/>
      <c r="D10" s="1"/>
      <c r="E10" s="1"/>
      <c r="F10" s="1"/>
      <c r="G10" s="3"/>
      <c r="H10" s="3"/>
      <c r="I10" s="4"/>
      <c r="J10" s="4"/>
      <c r="K10" s="4"/>
      <c r="L10" s="4"/>
      <c r="M10" s="4"/>
    </row>
    <row r="11" spans="1:13" s="45" customFormat="1" x14ac:dyDescent="0.25">
      <c r="B11" s="44" t="s">
        <v>5</v>
      </c>
      <c r="C11" s="44" t="s">
        <v>6</v>
      </c>
      <c r="D11" s="44" t="s">
        <v>71</v>
      </c>
    </row>
    <row r="12" spans="1:13" s="45" customFormat="1" ht="36" customHeight="1" x14ac:dyDescent="0.25">
      <c r="B12" s="46">
        <v>0</v>
      </c>
      <c r="C12" s="47" t="s">
        <v>10</v>
      </c>
      <c r="D12" s="48" t="s">
        <v>72</v>
      </c>
    </row>
    <row r="13" spans="1:13" s="45" customFormat="1" ht="36" customHeight="1" x14ac:dyDescent="0.25">
      <c r="B13" s="46">
        <v>1</v>
      </c>
      <c r="C13" s="47" t="s">
        <v>14</v>
      </c>
      <c r="D13" s="48" t="s">
        <v>73</v>
      </c>
    </row>
    <row r="14" spans="1:13" s="45" customFormat="1" ht="36" customHeight="1" x14ac:dyDescent="0.25">
      <c r="B14" s="46">
        <v>2</v>
      </c>
      <c r="C14" s="47" t="s">
        <v>18</v>
      </c>
      <c r="D14" s="48" t="s">
        <v>74</v>
      </c>
    </row>
  </sheetData>
  <conditionalFormatting sqref="B12:B14">
    <cfRule type="iconSet" priority="14">
      <iconSet iconSet="3Symbols">
        <cfvo type="percent" val="0"/>
        <cfvo type="num" val="1"/>
        <cfvo type="num" val="2"/>
      </iconSet>
    </cfRule>
  </conditionalFormatting>
  <conditionalFormatting sqref="D12">
    <cfRule type="iconSet" priority="10">
      <iconSet iconSet="3Symbols">
        <cfvo type="percent" val="0"/>
        <cfvo type="num" val="1"/>
        <cfvo type="num" val="2"/>
      </iconSet>
    </cfRule>
  </conditionalFormatting>
  <conditionalFormatting sqref="D13:D14">
    <cfRule type="iconSet" priority="11">
      <iconSet iconSet="3Symbols">
        <cfvo type="percent" val="0"/>
        <cfvo type="num" val="1"/>
        <cfvo type="num" val="2"/>
      </iconSet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ECFDB44F54C41B0DF77D30BC10260" ma:contentTypeVersion="11" ma:contentTypeDescription="Create a new document." ma:contentTypeScope="" ma:versionID="658febc9c9c8605fe4bc99021c7c6a15">
  <xsd:schema xmlns:xsd="http://www.w3.org/2001/XMLSchema" xmlns:xs="http://www.w3.org/2001/XMLSchema" xmlns:p="http://schemas.microsoft.com/office/2006/metadata/properties" xmlns:ns2="c4e4f9ce-e23c-4016-9483-70829eccc6ef" xmlns:ns3="cf03e6f0-e7de-4568-876e-ad2773c91fdf" targetNamespace="http://schemas.microsoft.com/office/2006/metadata/properties" ma:root="true" ma:fieldsID="64d6e3bcedcb21bb0ae82100164c8dd0" ns2:_="" ns3:_="">
    <xsd:import namespace="c4e4f9ce-e23c-4016-9483-70829eccc6ef"/>
    <xsd:import namespace="cf03e6f0-e7de-4568-876e-ad2773c91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4f9ce-e23c-4016-9483-70829eccc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3e6f0-e7de-4568-876e-ad2773c91f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26C219-3FB3-4FF5-9A5D-6495092B7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e4f9ce-e23c-4016-9483-70829eccc6ef"/>
    <ds:schemaRef ds:uri="cf03e6f0-e7de-4568-876e-ad2773c91f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D62DBC-B07B-402B-AFD6-BB59D4FF6FE5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cf03e6f0-e7de-4568-876e-ad2773c91fdf"/>
    <ds:schemaRef ds:uri="http://schemas.openxmlformats.org/package/2006/metadata/core-properties"/>
    <ds:schemaRef ds:uri="http://schemas.microsoft.com/office/infopath/2007/PartnerControls"/>
    <ds:schemaRef ds:uri="c4e4f9ce-e23c-4016-9483-70829eccc6e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DCBFD1B-FEF2-4C75-950C-0777968CC9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Introdução</vt:lpstr>
      <vt:lpstr>Caderno de Testes SIRIC</vt:lpstr>
      <vt:lpstr>Evidências</vt:lpstr>
      <vt:lpstr>Glossário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Sperling</dc:creator>
  <cp:keywords/>
  <dc:description/>
  <cp:lastModifiedBy>ROBERT ROSSI SILVA DE MESQUITA</cp:lastModifiedBy>
  <cp:revision/>
  <dcterms:created xsi:type="dcterms:W3CDTF">2020-02-06T12:32:27Z</dcterms:created>
  <dcterms:modified xsi:type="dcterms:W3CDTF">2021-09-22T18:41:16Z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</Properties>
</file>